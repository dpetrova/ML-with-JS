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GRAMMING\Neural Networks\Machine Learning with Javascript\MLKits\04_regressions\"/>
    </mc:Choice>
  </mc:AlternateContent>
  <bookViews>
    <workbookView xWindow="0" yWindow="0" windowWidth="28800" windowHeight="12300" activeTab="4"/>
  </bookViews>
  <sheets>
    <sheet name="Gradient Descent (Empty)" sheetId="1" r:id="rId1"/>
    <sheet name="Gradient Descent (Completed)" sheetId="2" r:id="rId2"/>
    <sheet name="Chart" sheetId="3" r:id="rId3"/>
    <sheet name="M + B (Empty)" sheetId="4" r:id="rId4"/>
    <sheet name="M + B ( Completed)" sheetId="5" r:id="rId5"/>
  </sheets>
  <calcPr calcId="162913"/>
</workbook>
</file>

<file path=xl/calcChain.xml><?xml version="1.0" encoding="utf-8"?>
<calcChain xmlns="http://schemas.openxmlformats.org/spreadsheetml/2006/main">
  <c r="E3" i="1" l="1"/>
  <c r="I2" i="4"/>
  <c r="E3" i="4" s="1"/>
  <c r="H2" i="4"/>
  <c r="D3" i="4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2" i="3"/>
  <c r="G2" i="2"/>
  <c r="F3" i="5"/>
  <c r="H3" i="5" s="1"/>
  <c r="E3" i="5"/>
  <c r="I2" i="5"/>
  <c r="G2" i="5"/>
  <c r="F2" i="5"/>
  <c r="H2" i="5" s="1"/>
  <c r="D3" i="5" s="1"/>
  <c r="G2" i="4"/>
  <c r="F2" i="4"/>
  <c r="G2" i="3"/>
  <c r="H2" i="3" s="1"/>
  <c r="E3" i="3" s="1"/>
  <c r="F2" i="2"/>
  <c r="E3" i="2" s="1"/>
  <c r="F2" i="1"/>
  <c r="G2" i="1" s="1"/>
  <c r="F3" i="2" l="1"/>
  <c r="G3" i="2" s="1"/>
  <c r="E4" i="2" s="1"/>
  <c r="G3" i="3"/>
  <c r="H3" i="3" s="1"/>
  <c r="E4" i="3" s="1"/>
  <c r="D4" i="5"/>
  <c r="G3" i="5"/>
  <c r="I3" i="5" s="1"/>
  <c r="E4" i="5" s="1"/>
  <c r="G4" i="3" l="1"/>
  <c r="H4" i="3" s="1"/>
  <c r="E5" i="3" s="1"/>
  <c r="F4" i="2"/>
  <c r="G4" i="2" s="1"/>
  <c r="E5" i="2" s="1"/>
  <c r="F4" i="5"/>
  <c r="H4" i="5" s="1"/>
  <c r="D5" i="5" s="1"/>
  <c r="G4" i="5"/>
  <c r="I4" i="5" s="1"/>
  <c r="E5" i="5" s="1"/>
  <c r="F5" i="2" l="1"/>
  <c r="G5" i="2" s="1"/>
  <c r="E6" i="2" s="1"/>
  <c r="E6" i="3"/>
  <c r="G5" i="3"/>
  <c r="H5" i="3" s="1"/>
  <c r="G5" i="5"/>
  <c r="I5" i="5" s="1"/>
  <c r="E6" i="5" s="1"/>
  <c r="F5" i="5"/>
  <c r="H5" i="5" s="1"/>
  <c r="D6" i="5" s="1"/>
  <c r="F6" i="2" l="1"/>
  <c r="G6" i="2" s="1"/>
  <c r="E7" i="2" s="1"/>
  <c r="D7" i="5"/>
  <c r="G6" i="5"/>
  <c r="I6" i="5" s="1"/>
  <c r="E7" i="5" s="1"/>
  <c r="F6" i="5"/>
  <c r="H6" i="5" s="1"/>
  <c r="G6" i="3"/>
  <c r="H6" i="3" s="1"/>
  <c r="E7" i="3" s="1"/>
  <c r="G7" i="3" l="1"/>
  <c r="H7" i="3" s="1"/>
  <c r="E8" i="3" s="1"/>
  <c r="F7" i="2"/>
  <c r="G7" i="2" s="1"/>
  <c r="E8" i="2" s="1"/>
  <c r="F7" i="5"/>
  <c r="H7" i="5" s="1"/>
  <c r="D8" i="5" s="1"/>
  <c r="G7" i="5"/>
  <c r="I7" i="5" s="1"/>
  <c r="E8" i="5" s="1"/>
  <c r="G8" i="5" l="1"/>
  <c r="I8" i="5" s="1"/>
  <c r="E9" i="5" s="1"/>
  <c r="F8" i="5"/>
  <c r="H8" i="5" s="1"/>
  <c r="D9" i="5" s="1"/>
  <c r="F8" i="2"/>
  <c r="G8" i="2" s="1"/>
  <c r="E9" i="2" s="1"/>
  <c r="G8" i="3"/>
  <c r="H8" i="3" s="1"/>
  <c r="E9" i="3"/>
  <c r="G9" i="5" l="1"/>
  <c r="I9" i="5" s="1"/>
  <c r="F9" i="5"/>
  <c r="H9" i="5" s="1"/>
  <c r="D10" i="5" s="1"/>
  <c r="E10" i="5"/>
  <c r="F9" i="2"/>
  <c r="G9" i="2" s="1"/>
  <c r="E10" i="2" s="1"/>
  <c r="G9" i="3"/>
  <c r="H9" i="3" s="1"/>
  <c r="E10" i="3"/>
  <c r="F10" i="2" l="1"/>
  <c r="G10" i="2" s="1"/>
  <c r="E11" i="2" s="1"/>
  <c r="D11" i="5"/>
  <c r="G10" i="5"/>
  <c r="I10" i="5" s="1"/>
  <c r="E11" i="5" s="1"/>
  <c r="F10" i="5"/>
  <c r="H10" i="5" s="1"/>
  <c r="G10" i="3"/>
  <c r="H10" i="3" s="1"/>
  <c r="E11" i="3" s="1"/>
  <c r="G11" i="3" l="1"/>
  <c r="H11" i="3" s="1"/>
  <c r="E12" i="3"/>
  <c r="F11" i="2"/>
  <c r="G11" i="2" s="1"/>
  <c r="E12" i="2" s="1"/>
  <c r="G11" i="5"/>
  <c r="I11" i="5" s="1"/>
  <c r="E12" i="5" s="1"/>
  <c r="F11" i="5"/>
  <c r="H11" i="5" s="1"/>
  <c r="D12" i="5" s="1"/>
  <c r="G12" i="5" l="1"/>
  <c r="I12" i="5" s="1"/>
  <c r="F12" i="5"/>
  <c r="H12" i="5" s="1"/>
  <c r="D13" i="5" s="1"/>
  <c r="E13" i="5"/>
  <c r="F12" i="2"/>
  <c r="G12" i="2" s="1"/>
  <c r="E13" i="2"/>
  <c r="G12" i="3"/>
  <c r="H12" i="3" s="1"/>
  <c r="E13" i="3" s="1"/>
  <c r="G13" i="3" l="1"/>
  <c r="H13" i="3" s="1"/>
  <c r="E14" i="3" s="1"/>
  <c r="F13" i="5"/>
  <c r="H13" i="5" s="1"/>
  <c r="D14" i="5" s="1"/>
  <c r="G13" i="5"/>
  <c r="I13" i="5" s="1"/>
  <c r="E14" i="5" s="1"/>
  <c r="F13" i="2"/>
  <c r="G13" i="2" s="1"/>
  <c r="E14" i="2" s="1"/>
  <c r="F14" i="2" l="1"/>
  <c r="G14" i="2" s="1"/>
  <c r="E15" i="2" s="1"/>
  <c r="G14" i="5"/>
  <c r="I14" i="5" s="1"/>
  <c r="E15" i="5" s="1"/>
  <c r="F14" i="5"/>
  <c r="H14" i="5" s="1"/>
  <c r="D15" i="5" s="1"/>
  <c r="G14" i="3"/>
  <c r="H14" i="3" s="1"/>
  <c r="E15" i="3" s="1"/>
  <c r="G15" i="3" l="1"/>
  <c r="H15" i="3" s="1"/>
  <c r="E16" i="3" s="1"/>
  <c r="G15" i="5"/>
  <c r="I15" i="5" s="1"/>
  <c r="E16" i="5" s="1"/>
  <c r="F15" i="5"/>
  <c r="H15" i="5" s="1"/>
  <c r="D16" i="5" s="1"/>
  <c r="F15" i="2"/>
  <c r="G15" i="2" s="1"/>
  <c r="E16" i="2" s="1"/>
  <c r="F16" i="2" l="1"/>
  <c r="G16" i="2" s="1"/>
  <c r="E17" i="2" s="1"/>
  <c r="F16" i="5"/>
  <c r="H16" i="5" s="1"/>
  <c r="D17" i="5" s="1"/>
  <c r="G16" i="5"/>
  <c r="I16" i="5" s="1"/>
  <c r="E17" i="5" s="1"/>
  <c r="G16" i="3"/>
  <c r="H16" i="3" s="1"/>
  <c r="E17" i="3" s="1"/>
  <c r="G17" i="3" l="1"/>
  <c r="H17" i="3" s="1"/>
  <c r="E18" i="3"/>
  <c r="G17" i="5"/>
  <c r="I17" i="5" s="1"/>
  <c r="E18" i="5" s="1"/>
  <c r="F17" i="5"/>
  <c r="H17" i="5" s="1"/>
  <c r="D18" i="5" s="1"/>
  <c r="F17" i="2"/>
  <c r="G17" i="2" s="1"/>
  <c r="E18" i="2" s="1"/>
  <c r="F18" i="2" l="1"/>
  <c r="G18" i="2" s="1"/>
  <c r="E19" i="2" s="1"/>
  <c r="G18" i="5"/>
  <c r="I18" i="5" s="1"/>
  <c r="E19" i="5" s="1"/>
  <c r="F18" i="5"/>
  <c r="H18" i="5" s="1"/>
  <c r="D19" i="5" s="1"/>
  <c r="G18" i="3"/>
  <c r="H18" i="3" s="1"/>
  <c r="E19" i="3" s="1"/>
  <c r="G19" i="3" l="1"/>
  <c r="H19" i="3" s="1"/>
  <c r="E20" i="3" s="1"/>
  <c r="D20" i="5"/>
  <c r="G19" i="5"/>
  <c r="I19" i="5" s="1"/>
  <c r="E20" i="5" s="1"/>
  <c r="F19" i="5"/>
  <c r="H19" i="5" s="1"/>
  <c r="F19" i="2"/>
  <c r="G19" i="2" s="1"/>
  <c r="E20" i="2" s="1"/>
  <c r="F20" i="2" l="1"/>
  <c r="G20" i="2" s="1"/>
  <c r="E21" i="2" s="1"/>
  <c r="G20" i="3"/>
  <c r="H20" i="3" s="1"/>
  <c r="E21" i="3"/>
  <c r="E21" i="5"/>
  <c r="G20" i="5"/>
  <c r="I20" i="5" s="1"/>
  <c r="F20" i="5"/>
  <c r="H20" i="5" s="1"/>
  <c r="D21" i="5" s="1"/>
  <c r="G21" i="5" l="1"/>
  <c r="I21" i="5" s="1"/>
  <c r="F21" i="5"/>
  <c r="H21" i="5" s="1"/>
  <c r="D22" i="5" s="1"/>
  <c r="F21" i="2"/>
  <c r="G21" i="2" s="1"/>
  <c r="E22" i="2" s="1"/>
  <c r="E22" i="5"/>
  <c r="G21" i="3"/>
  <c r="H21" i="3" s="1"/>
  <c r="E22" i="3" s="1"/>
  <c r="G22" i="3" l="1"/>
  <c r="H22" i="3" s="1"/>
  <c r="E23" i="3" s="1"/>
  <c r="F22" i="2"/>
  <c r="G22" i="2" s="1"/>
  <c r="E23" i="2" s="1"/>
  <c r="G22" i="5"/>
  <c r="I22" i="5" s="1"/>
  <c r="E23" i="5" s="1"/>
  <c r="F22" i="5"/>
  <c r="H22" i="5" s="1"/>
  <c r="D23" i="5" s="1"/>
  <c r="G23" i="5" l="1"/>
  <c r="I23" i="5" s="1"/>
  <c r="F23" i="5"/>
  <c r="H23" i="5" s="1"/>
  <c r="D24" i="5" s="1"/>
  <c r="E24" i="5"/>
  <c r="F23" i="2"/>
  <c r="G23" i="2" s="1"/>
  <c r="E24" i="2" s="1"/>
  <c r="G23" i="3"/>
  <c r="H23" i="3" s="1"/>
  <c r="E24" i="3" s="1"/>
  <c r="G24" i="3" l="1"/>
  <c r="H24" i="3" s="1"/>
  <c r="E25" i="3" s="1"/>
  <c r="F24" i="2"/>
  <c r="G24" i="2" s="1"/>
  <c r="E25" i="2" s="1"/>
  <c r="G24" i="5"/>
  <c r="I24" i="5" s="1"/>
  <c r="E25" i="5" s="1"/>
  <c r="F24" i="5"/>
  <c r="H24" i="5" s="1"/>
  <c r="D25" i="5" s="1"/>
  <c r="G25" i="5" l="1"/>
  <c r="I25" i="5" s="1"/>
  <c r="F25" i="5"/>
  <c r="H25" i="5" s="1"/>
  <c r="D26" i="5" s="1"/>
  <c r="E26" i="5"/>
  <c r="F25" i="2"/>
  <c r="G25" i="2" s="1"/>
  <c r="E26" i="2" s="1"/>
  <c r="G25" i="3"/>
  <c r="H25" i="3" s="1"/>
  <c r="E26" i="3" s="1"/>
  <c r="G26" i="3" l="1"/>
  <c r="H26" i="3" s="1"/>
  <c r="E27" i="3" s="1"/>
  <c r="F26" i="2"/>
  <c r="G26" i="2" s="1"/>
  <c r="E27" i="2" s="1"/>
  <c r="G26" i="5"/>
  <c r="I26" i="5" s="1"/>
  <c r="E27" i="5" s="1"/>
  <c r="F26" i="5"/>
  <c r="H26" i="5" s="1"/>
  <c r="D27" i="5" s="1"/>
  <c r="G27" i="5" l="1"/>
  <c r="I27" i="5" s="1"/>
  <c r="F27" i="5"/>
  <c r="H27" i="5" s="1"/>
  <c r="D28" i="5" s="1"/>
  <c r="E28" i="5"/>
  <c r="F27" i="2"/>
  <c r="G27" i="2" s="1"/>
  <c r="E28" i="2" s="1"/>
  <c r="G27" i="3"/>
  <c r="H27" i="3" s="1"/>
  <c r="E28" i="3" s="1"/>
  <c r="G28" i="3" l="1"/>
  <c r="H28" i="3" s="1"/>
  <c r="E29" i="3" s="1"/>
  <c r="F28" i="2"/>
  <c r="G28" i="2" s="1"/>
  <c r="E29" i="2" s="1"/>
  <c r="G28" i="5"/>
  <c r="I28" i="5" s="1"/>
  <c r="E29" i="5" s="1"/>
  <c r="F28" i="5"/>
  <c r="H28" i="5" s="1"/>
  <c r="D29" i="5" s="1"/>
  <c r="G29" i="5" l="1"/>
  <c r="I29" i="5" s="1"/>
  <c r="F29" i="5"/>
  <c r="H29" i="5" s="1"/>
  <c r="D30" i="5" s="1"/>
  <c r="E30" i="5"/>
  <c r="F29" i="2"/>
  <c r="G29" i="2" s="1"/>
  <c r="E30" i="2" s="1"/>
  <c r="G29" i="3"/>
  <c r="H29" i="3" s="1"/>
  <c r="E30" i="3" s="1"/>
  <c r="G30" i="3" l="1"/>
  <c r="H30" i="3" s="1"/>
  <c r="E31" i="3" s="1"/>
  <c r="F30" i="2"/>
  <c r="G30" i="2" s="1"/>
  <c r="E31" i="2" s="1"/>
  <c r="G30" i="5"/>
  <c r="I30" i="5" s="1"/>
  <c r="E31" i="5" s="1"/>
  <c r="F30" i="5"/>
  <c r="H30" i="5" s="1"/>
  <c r="D31" i="5" s="1"/>
  <c r="G31" i="5" l="1"/>
  <c r="I31" i="5" s="1"/>
  <c r="F31" i="5"/>
  <c r="H31" i="5" s="1"/>
  <c r="D32" i="5" s="1"/>
  <c r="E32" i="5"/>
  <c r="F31" i="2"/>
  <c r="G31" i="2" s="1"/>
  <c r="E32" i="2" s="1"/>
  <c r="G31" i="3"/>
  <c r="H31" i="3" s="1"/>
  <c r="E32" i="3" s="1"/>
  <c r="G32" i="3" l="1"/>
  <c r="H32" i="3" s="1"/>
  <c r="E33" i="3" s="1"/>
  <c r="F32" i="2"/>
  <c r="G32" i="2" s="1"/>
  <c r="E33" i="2" s="1"/>
  <c r="G32" i="5"/>
  <c r="I32" i="5" s="1"/>
  <c r="E33" i="5" s="1"/>
  <c r="F32" i="5"/>
  <c r="H32" i="5" s="1"/>
  <c r="D33" i="5" s="1"/>
  <c r="G33" i="5" l="1"/>
  <c r="I33" i="5" s="1"/>
  <c r="E34" i="5" s="1"/>
  <c r="F33" i="5"/>
  <c r="H33" i="5" s="1"/>
  <c r="D34" i="5" s="1"/>
  <c r="F33" i="2"/>
  <c r="G33" i="2" s="1"/>
  <c r="E34" i="2" s="1"/>
  <c r="G33" i="3"/>
  <c r="H33" i="3" s="1"/>
  <c r="E34" i="3" s="1"/>
  <c r="F34" i="2" l="1"/>
  <c r="G34" i="2" s="1"/>
  <c r="E35" i="2" s="1"/>
  <c r="G34" i="3"/>
  <c r="H34" i="3" s="1"/>
  <c r="E35" i="3" s="1"/>
  <c r="G34" i="5"/>
  <c r="I34" i="5" s="1"/>
  <c r="E35" i="5" s="1"/>
  <c r="F34" i="5"/>
  <c r="H34" i="5" s="1"/>
  <c r="D35" i="5" s="1"/>
  <c r="G35" i="5" l="1"/>
  <c r="I35" i="5" s="1"/>
  <c r="F35" i="5"/>
  <c r="H35" i="5" s="1"/>
  <c r="D36" i="5" s="1"/>
  <c r="E36" i="5"/>
  <c r="G35" i="3"/>
  <c r="H35" i="3" s="1"/>
  <c r="E36" i="3" s="1"/>
  <c r="F35" i="2"/>
  <c r="G35" i="2" s="1"/>
  <c r="E36" i="2"/>
  <c r="G36" i="3" l="1"/>
  <c r="H36" i="3" s="1"/>
  <c r="E37" i="3" s="1"/>
  <c r="G36" i="5"/>
  <c r="I36" i="5" s="1"/>
  <c r="E37" i="5" s="1"/>
  <c r="F36" i="5"/>
  <c r="H36" i="5" s="1"/>
  <c r="D37" i="5" s="1"/>
  <c r="F36" i="2"/>
  <c r="G36" i="2" s="1"/>
  <c r="E37" i="2" s="1"/>
  <c r="G37" i="5" l="1"/>
  <c r="I37" i="5" s="1"/>
  <c r="F37" i="5"/>
  <c r="H37" i="5" s="1"/>
  <c r="D38" i="5" s="1"/>
  <c r="F37" i="2"/>
  <c r="G37" i="2" s="1"/>
  <c r="E38" i="2" s="1"/>
  <c r="E38" i="5"/>
  <c r="G37" i="3"/>
  <c r="H37" i="3" s="1"/>
  <c r="E38" i="3" s="1"/>
  <c r="G38" i="3" l="1"/>
  <c r="H38" i="3" s="1"/>
  <c r="E39" i="3"/>
  <c r="F38" i="2"/>
  <c r="G38" i="2" s="1"/>
  <c r="E39" i="2" s="1"/>
  <c r="G38" i="5"/>
  <c r="I38" i="5" s="1"/>
  <c r="E39" i="5" s="1"/>
  <c r="F38" i="5"/>
  <c r="H38" i="5" s="1"/>
  <c r="D39" i="5" s="1"/>
  <c r="G39" i="5" l="1"/>
  <c r="I39" i="5" s="1"/>
  <c r="F39" i="5"/>
  <c r="H39" i="5" s="1"/>
  <c r="D40" i="5" s="1"/>
  <c r="E40" i="5"/>
  <c r="F39" i="2"/>
  <c r="G39" i="2" s="1"/>
  <c r="E40" i="2" s="1"/>
  <c r="G39" i="3"/>
  <c r="H39" i="3" s="1"/>
  <c r="E40" i="3" s="1"/>
  <c r="G40" i="3" l="1"/>
  <c r="H40" i="3" s="1"/>
  <c r="E41" i="3" s="1"/>
  <c r="F40" i="2"/>
  <c r="G40" i="2" s="1"/>
  <c r="E41" i="2" s="1"/>
  <c r="G40" i="5"/>
  <c r="I40" i="5" s="1"/>
  <c r="E41" i="5" s="1"/>
  <c r="F40" i="5"/>
  <c r="H40" i="5" s="1"/>
  <c r="D41" i="5" s="1"/>
  <c r="G41" i="5" l="1"/>
  <c r="I41" i="5" s="1"/>
  <c r="F41" i="5"/>
  <c r="H41" i="5" s="1"/>
  <c r="D42" i="5" s="1"/>
  <c r="E42" i="5"/>
  <c r="F41" i="2"/>
  <c r="G41" i="2" s="1"/>
  <c r="E42" i="2" s="1"/>
  <c r="G41" i="3"/>
  <c r="H41" i="3" s="1"/>
  <c r="E42" i="3" s="1"/>
  <c r="G42" i="3" l="1"/>
  <c r="H42" i="3" s="1"/>
  <c r="E43" i="3" s="1"/>
  <c r="F42" i="2"/>
  <c r="G42" i="2" s="1"/>
  <c r="E43" i="2" s="1"/>
  <c r="G42" i="5"/>
  <c r="I42" i="5" s="1"/>
  <c r="E43" i="5" s="1"/>
  <c r="F42" i="5"/>
  <c r="H42" i="5" s="1"/>
  <c r="D43" i="5" s="1"/>
  <c r="G43" i="5" l="1"/>
  <c r="I43" i="5" s="1"/>
  <c r="F43" i="5"/>
  <c r="H43" i="5" s="1"/>
  <c r="D44" i="5" s="1"/>
  <c r="E44" i="5"/>
  <c r="F43" i="2"/>
  <c r="G43" i="2" s="1"/>
  <c r="E44" i="2" s="1"/>
  <c r="G43" i="3"/>
  <c r="H43" i="3" s="1"/>
  <c r="E44" i="3" s="1"/>
  <c r="G44" i="3" l="1"/>
  <c r="H44" i="3" s="1"/>
  <c r="E45" i="3" s="1"/>
  <c r="F44" i="2"/>
  <c r="G44" i="2" s="1"/>
  <c r="E45" i="2" s="1"/>
  <c r="F45" i="2" s="1"/>
  <c r="G45" i="2" s="1"/>
  <c r="G44" i="5"/>
  <c r="I44" i="5" s="1"/>
  <c r="E45" i="5" s="1"/>
  <c r="F44" i="5"/>
  <c r="H44" i="5" s="1"/>
  <c r="D45" i="5" s="1"/>
  <c r="G45" i="5" l="1"/>
  <c r="I45" i="5" s="1"/>
  <c r="F45" i="5"/>
  <c r="H45" i="5" s="1"/>
  <c r="D46" i="5" s="1"/>
  <c r="E46" i="5"/>
  <c r="G45" i="3"/>
  <c r="H45" i="3" s="1"/>
  <c r="G46" i="5" l="1"/>
  <c r="I46" i="5" s="1"/>
  <c r="F46" i="5"/>
  <c r="H46" i="5" s="1"/>
  <c r="D47" i="5" s="1"/>
  <c r="E47" i="5"/>
  <c r="G47" i="5" l="1"/>
  <c r="I47" i="5" s="1"/>
  <c r="F47" i="5"/>
  <c r="H47" i="5" s="1"/>
  <c r="D48" i="5" s="1"/>
  <c r="E48" i="5"/>
  <c r="G48" i="5" l="1"/>
  <c r="I48" i="5" s="1"/>
  <c r="F48" i="5"/>
  <c r="H48" i="5" s="1"/>
  <c r="D49" i="5" s="1"/>
  <c r="E49" i="5"/>
  <c r="G49" i="5" l="1"/>
  <c r="I49" i="5" s="1"/>
  <c r="E50" i="5" s="1"/>
  <c r="F49" i="5"/>
  <c r="H49" i="5" s="1"/>
  <c r="D50" i="5" s="1"/>
  <c r="G50" i="5" l="1"/>
  <c r="I50" i="5" s="1"/>
  <c r="E51" i="5" s="1"/>
  <c r="F50" i="5"/>
  <c r="H50" i="5" s="1"/>
  <c r="D51" i="5" s="1"/>
  <c r="G51" i="5" l="1"/>
  <c r="I51" i="5" s="1"/>
  <c r="F51" i="5"/>
  <c r="H51" i="5" s="1"/>
  <c r="D52" i="5" s="1"/>
  <c r="E52" i="5"/>
  <c r="G52" i="5" l="1"/>
  <c r="I52" i="5" s="1"/>
  <c r="F52" i="5"/>
  <c r="H52" i="5" s="1"/>
  <c r="D53" i="5" s="1"/>
  <c r="E53" i="5"/>
  <c r="G53" i="5" l="1"/>
  <c r="I53" i="5" s="1"/>
  <c r="E54" i="5" s="1"/>
  <c r="F53" i="5"/>
  <c r="H53" i="5" s="1"/>
  <c r="D54" i="5" s="1"/>
  <c r="G54" i="5" l="1"/>
  <c r="I54" i="5" s="1"/>
  <c r="E55" i="5" s="1"/>
  <c r="F54" i="5"/>
  <c r="H54" i="5" s="1"/>
  <c r="D55" i="5" s="1"/>
  <c r="G55" i="5" l="1"/>
  <c r="I55" i="5" s="1"/>
  <c r="E56" i="5" s="1"/>
  <c r="F55" i="5"/>
  <c r="H55" i="5" s="1"/>
  <c r="D56" i="5" s="1"/>
  <c r="G56" i="5" l="1"/>
  <c r="I56" i="5" s="1"/>
  <c r="E57" i="5" s="1"/>
  <c r="F56" i="5"/>
  <c r="H56" i="5" s="1"/>
  <c r="D57" i="5" s="1"/>
  <c r="G57" i="5" l="1"/>
  <c r="I57" i="5" s="1"/>
  <c r="F57" i="5"/>
  <c r="H57" i="5" s="1"/>
  <c r="D58" i="5" s="1"/>
  <c r="E58" i="5"/>
  <c r="G58" i="5" l="1"/>
  <c r="I58" i="5" s="1"/>
  <c r="F58" i="5"/>
  <c r="H58" i="5" s="1"/>
  <c r="D59" i="5" s="1"/>
  <c r="E59" i="5"/>
  <c r="G59" i="5" l="1"/>
  <c r="I59" i="5" s="1"/>
  <c r="E60" i="5" s="1"/>
  <c r="F59" i="5"/>
  <c r="H59" i="5" s="1"/>
  <c r="D60" i="5" s="1"/>
  <c r="G60" i="5" l="1"/>
  <c r="I60" i="5" s="1"/>
  <c r="F60" i="5"/>
  <c r="H60" i="5" s="1"/>
  <c r="D61" i="5" s="1"/>
  <c r="E61" i="5"/>
  <c r="G61" i="5" l="1"/>
  <c r="I61" i="5" s="1"/>
  <c r="E62" i="5" s="1"/>
  <c r="F61" i="5"/>
  <c r="H61" i="5" s="1"/>
  <c r="D62" i="5" s="1"/>
  <c r="G62" i="5" l="1"/>
  <c r="I62" i="5" s="1"/>
  <c r="E63" i="5" s="1"/>
  <c r="F62" i="5"/>
  <c r="H62" i="5" s="1"/>
  <c r="D63" i="5" s="1"/>
  <c r="G63" i="5" l="1"/>
  <c r="I63" i="5" s="1"/>
  <c r="E64" i="5" s="1"/>
  <c r="F63" i="5"/>
  <c r="H63" i="5" s="1"/>
  <c r="D64" i="5" s="1"/>
  <c r="G64" i="5" l="1"/>
  <c r="I64" i="5" s="1"/>
  <c r="E65" i="5" s="1"/>
  <c r="F64" i="5"/>
  <c r="H64" i="5" s="1"/>
  <c r="D65" i="5" s="1"/>
  <c r="G65" i="5" l="1"/>
  <c r="I65" i="5" s="1"/>
  <c r="E66" i="5" s="1"/>
  <c r="F65" i="5"/>
  <c r="H65" i="5" s="1"/>
  <c r="D66" i="5" s="1"/>
  <c r="G66" i="5" l="1"/>
  <c r="I66" i="5" s="1"/>
  <c r="F66" i="5"/>
  <c r="H66" i="5" s="1"/>
  <c r="D67" i="5" s="1"/>
  <c r="E67" i="5"/>
  <c r="G67" i="5" l="1"/>
  <c r="I67" i="5" s="1"/>
  <c r="E68" i="5" s="1"/>
  <c r="F67" i="5"/>
  <c r="H67" i="5" s="1"/>
  <c r="D68" i="5" s="1"/>
  <c r="G68" i="5" l="1"/>
  <c r="I68" i="5" s="1"/>
  <c r="E69" i="5" s="1"/>
  <c r="F68" i="5"/>
  <c r="H68" i="5" s="1"/>
  <c r="D69" i="5" s="1"/>
  <c r="G69" i="5" l="1"/>
  <c r="I69" i="5" s="1"/>
  <c r="F69" i="5"/>
  <c r="H69" i="5" s="1"/>
  <c r="D70" i="5" s="1"/>
  <c r="E70" i="5"/>
  <c r="G70" i="5" l="1"/>
  <c r="I70" i="5" s="1"/>
  <c r="E71" i="5" s="1"/>
  <c r="F70" i="5"/>
  <c r="H70" i="5" s="1"/>
  <c r="D71" i="5" s="1"/>
  <c r="G71" i="5" l="1"/>
  <c r="I71" i="5" s="1"/>
  <c r="E72" i="5" s="1"/>
  <c r="F71" i="5"/>
  <c r="H71" i="5" s="1"/>
  <c r="D72" i="5" s="1"/>
  <c r="G72" i="5" l="1"/>
  <c r="I72" i="5" s="1"/>
  <c r="F72" i="5"/>
  <c r="H72" i="5" s="1"/>
  <c r="D73" i="5" s="1"/>
  <c r="E73" i="5"/>
  <c r="G73" i="5" l="1"/>
  <c r="I73" i="5" s="1"/>
  <c r="E74" i="5" s="1"/>
  <c r="F73" i="5"/>
  <c r="H73" i="5" s="1"/>
  <c r="D74" i="5" s="1"/>
  <c r="G74" i="5" l="1"/>
  <c r="I74" i="5" s="1"/>
  <c r="F74" i="5"/>
  <c r="H74" i="5" s="1"/>
  <c r="D75" i="5" s="1"/>
  <c r="E75" i="5"/>
  <c r="G75" i="5" l="1"/>
  <c r="I75" i="5" s="1"/>
  <c r="E76" i="5" s="1"/>
  <c r="F75" i="5"/>
  <c r="H75" i="5" s="1"/>
  <c r="D76" i="5" s="1"/>
  <c r="G76" i="5" l="1"/>
  <c r="I76" i="5" s="1"/>
  <c r="E77" i="5" s="1"/>
  <c r="F76" i="5"/>
  <c r="H76" i="5" s="1"/>
  <c r="D77" i="5" s="1"/>
  <c r="G77" i="5" l="1"/>
  <c r="I77" i="5" s="1"/>
  <c r="F77" i="5"/>
  <c r="H77" i="5" s="1"/>
  <c r="D78" i="5" s="1"/>
  <c r="E78" i="5"/>
  <c r="G78" i="5" l="1"/>
  <c r="I78" i="5" s="1"/>
  <c r="E79" i="5" s="1"/>
  <c r="F78" i="5"/>
  <c r="H78" i="5" s="1"/>
  <c r="D79" i="5" s="1"/>
  <c r="G79" i="5" l="1"/>
  <c r="I79" i="5" s="1"/>
  <c r="F79" i="5"/>
  <c r="H79" i="5" s="1"/>
  <c r="D80" i="5" s="1"/>
  <c r="E80" i="5"/>
  <c r="G80" i="5" l="1"/>
  <c r="I80" i="5" s="1"/>
  <c r="E81" i="5" s="1"/>
  <c r="F80" i="5"/>
  <c r="H80" i="5" s="1"/>
  <c r="D81" i="5" s="1"/>
  <c r="G81" i="5" l="1"/>
  <c r="I81" i="5" s="1"/>
  <c r="F81" i="5"/>
  <c r="H81" i="5" s="1"/>
  <c r="D82" i="5" s="1"/>
  <c r="E82" i="5"/>
  <c r="G82" i="5" l="1"/>
  <c r="I82" i="5" s="1"/>
  <c r="F82" i="5"/>
  <c r="H82" i="5" s="1"/>
  <c r="D83" i="5" s="1"/>
  <c r="E83" i="5"/>
  <c r="G83" i="5" l="1"/>
  <c r="I83" i="5" s="1"/>
  <c r="F83" i="5"/>
  <c r="H83" i="5" s="1"/>
  <c r="D84" i="5" s="1"/>
  <c r="E84" i="5"/>
  <c r="G84" i="5" l="1"/>
  <c r="I84" i="5" s="1"/>
  <c r="F84" i="5"/>
  <c r="H84" i="5" s="1"/>
  <c r="D85" i="5" s="1"/>
  <c r="E85" i="5"/>
  <c r="G85" i="5" l="1"/>
  <c r="I85" i="5" s="1"/>
  <c r="E86" i="5" s="1"/>
  <c r="F85" i="5"/>
  <c r="H85" i="5" s="1"/>
  <c r="D86" i="5" s="1"/>
  <c r="G86" i="5" l="1"/>
  <c r="I86" i="5" s="1"/>
  <c r="F86" i="5"/>
  <c r="H86" i="5" s="1"/>
  <c r="D87" i="5" s="1"/>
  <c r="E87" i="5"/>
  <c r="G87" i="5" l="1"/>
  <c r="I87" i="5" s="1"/>
  <c r="E88" i="5" s="1"/>
  <c r="F87" i="5"/>
  <c r="H87" i="5" s="1"/>
  <c r="D88" i="5" s="1"/>
  <c r="G88" i="5" l="1"/>
  <c r="I88" i="5" s="1"/>
  <c r="F88" i="5"/>
  <c r="H88" i="5" s="1"/>
  <c r="D89" i="5" s="1"/>
  <c r="E89" i="5"/>
  <c r="G89" i="5" l="1"/>
  <c r="I89" i="5" s="1"/>
  <c r="F89" i="5"/>
  <c r="H89" i="5" s="1"/>
  <c r="D90" i="5" s="1"/>
  <c r="E90" i="5"/>
  <c r="G90" i="5" l="1"/>
  <c r="I90" i="5" s="1"/>
  <c r="E91" i="5" s="1"/>
  <c r="F90" i="5"/>
  <c r="H90" i="5" s="1"/>
  <c r="D91" i="5" s="1"/>
  <c r="G91" i="5" l="1"/>
  <c r="I91" i="5" s="1"/>
  <c r="F91" i="5"/>
  <c r="H91" i="5" s="1"/>
  <c r="D92" i="5" s="1"/>
  <c r="E92" i="5"/>
  <c r="G92" i="5" l="1"/>
  <c r="I92" i="5" s="1"/>
  <c r="E93" i="5" s="1"/>
  <c r="F92" i="5"/>
  <c r="H92" i="5" s="1"/>
  <c r="D93" i="5" s="1"/>
  <c r="G93" i="5" l="1"/>
  <c r="I93" i="5" s="1"/>
  <c r="F93" i="5"/>
  <c r="H93" i="5" s="1"/>
  <c r="D94" i="5" s="1"/>
  <c r="E94" i="5"/>
  <c r="G94" i="5" l="1"/>
  <c r="I94" i="5" s="1"/>
  <c r="E95" i="5" s="1"/>
  <c r="F94" i="5"/>
  <c r="H94" i="5" s="1"/>
  <c r="D95" i="5" s="1"/>
  <c r="G95" i="5" l="1"/>
  <c r="I95" i="5" s="1"/>
  <c r="F95" i="5"/>
  <c r="H95" i="5" s="1"/>
  <c r="D96" i="5" s="1"/>
  <c r="E96" i="5"/>
  <c r="G96" i="5" l="1"/>
  <c r="I96" i="5" s="1"/>
  <c r="E97" i="5" s="1"/>
  <c r="F96" i="5"/>
  <c r="H96" i="5" s="1"/>
  <c r="D97" i="5" s="1"/>
  <c r="G97" i="5" l="1"/>
  <c r="I97" i="5" s="1"/>
  <c r="F97" i="5"/>
  <c r="H97" i="5" s="1"/>
  <c r="D98" i="5" s="1"/>
  <c r="E98" i="5"/>
  <c r="G98" i="5" l="1"/>
  <c r="I98" i="5" s="1"/>
  <c r="E99" i="5" s="1"/>
  <c r="F98" i="5"/>
  <c r="H98" i="5" s="1"/>
  <c r="D99" i="5" s="1"/>
  <c r="G99" i="5" l="1"/>
  <c r="I99" i="5" s="1"/>
  <c r="F99" i="5"/>
  <c r="H99" i="5" s="1"/>
  <c r="D100" i="5" s="1"/>
  <c r="E100" i="5"/>
  <c r="G100" i="5" l="1"/>
  <c r="I100" i="5" s="1"/>
  <c r="E101" i="5" s="1"/>
  <c r="F100" i="5"/>
  <c r="H100" i="5" s="1"/>
  <c r="D101" i="5" s="1"/>
  <c r="G101" i="5" l="1"/>
  <c r="I101" i="5" s="1"/>
  <c r="F101" i="5"/>
  <c r="H101" i="5" s="1"/>
  <c r="D102" i="5" s="1"/>
  <c r="E102" i="5"/>
  <c r="G102" i="5" l="1"/>
  <c r="I102" i="5" s="1"/>
  <c r="E103" i="5" s="1"/>
  <c r="F102" i="5"/>
  <c r="H102" i="5" s="1"/>
  <c r="D103" i="5" s="1"/>
  <c r="G103" i="5" l="1"/>
  <c r="I103" i="5" s="1"/>
  <c r="E104" i="5" s="1"/>
  <c r="F103" i="5"/>
  <c r="H103" i="5" s="1"/>
  <c r="D104" i="5" s="1"/>
  <c r="G104" i="5" l="1"/>
  <c r="I104" i="5" s="1"/>
  <c r="F104" i="5"/>
  <c r="H104" i="5" s="1"/>
</calcChain>
</file>

<file path=xl/sharedStrings.xml><?xml version="1.0" encoding="utf-8"?>
<sst xmlns="http://schemas.openxmlformats.org/spreadsheetml/2006/main" count="42" uniqueCount="14">
  <si>
    <t>Lot Size</t>
  </si>
  <si>
    <t>House Price</t>
  </si>
  <si>
    <t>Value of B</t>
  </si>
  <si>
    <t>Slope of MSE</t>
  </si>
  <si>
    <t>How Much To Adjust B</t>
  </si>
  <si>
    <t>Initial Guess:</t>
  </si>
  <si>
    <t>Learning Rate</t>
  </si>
  <si>
    <t>MSE</t>
  </si>
  <si>
    <t>Value of M</t>
  </si>
  <si>
    <t>Slope of MSE WRT M</t>
  </si>
  <si>
    <t>Slope of MSE WRT B</t>
  </si>
  <si>
    <t>How Much to Adjust M</t>
  </si>
  <si>
    <t>The dollar sign in an Excel cell reference (e.g. $B$10) affects just one thing - it instructs Excel how to treat the reference when the formula is moved or copied to other cells. In a nutshell, using the $ sign before the row and column coordinates makes an absolute cell reference that won't change</t>
  </si>
  <si>
    <t>Lot Size values here are normalized using min-max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</si>
</sst>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/>
    <xf numFmtId="4" fontId="1" fillId="0" borderId="0" xfId="0" applyNumberFormat="1" applyFont="1" applyAlignment="1"/>
    <xf numFmtId="4" fontId="1" fillId="0" borderId="0" xfId="0" applyNumberFormat="1" applyFont="1" applyAlignment="1"/>
    <xf numFmtId="4" fontId="2" fillId="0" borderId="0" xfId="0" applyNumberFormat="1" applyFont="1" applyAlignment="1">
      <alignment horizontal="right"/>
    </xf>
    <xf numFmtId="4" fontId="3" fillId="0" borderId="0" xfId="0" applyNumberFormat="1" applyFont="1"/>
    <xf numFmtId="2" fontId="2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5" fillId="0" borderId="0" xfId="0" applyFont="1" applyAlignment="1"/>
    <xf numFmtId="2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en-US" b="0">
                <a:solidFill>
                  <a:srgbClr val="000000"/>
                </a:solidFill>
                <a:latin typeface="Roboto"/>
              </a:rPr>
              <a:t>MSE vs. Value of B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Chart!$F$1</c:f>
              <c:strCache>
                <c:ptCount val="1"/>
                <c:pt idx="0">
                  <c:v>MSE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Chart!$E$2:$E$45</c:f>
              <c:numCache>
                <c:formatCode>General</c:formatCode>
                <c:ptCount val="44"/>
                <c:pt idx="0">
                  <c:v>1</c:v>
                </c:pt>
                <c:pt idx="1">
                  <c:v>49.800000000000004</c:v>
                </c:pt>
                <c:pt idx="2">
                  <c:v>88.84</c:v>
                </c:pt>
                <c:pt idx="3">
                  <c:v>120.072</c:v>
                </c:pt>
                <c:pt idx="4">
                  <c:v>145.05760000000001</c:v>
                </c:pt>
                <c:pt idx="5">
                  <c:v>165.04608000000002</c:v>
                </c:pt>
                <c:pt idx="6">
                  <c:v>181.03686400000001</c:v>
                </c:pt>
                <c:pt idx="7">
                  <c:v>193.82949120000001</c:v>
                </c:pt>
                <c:pt idx="8">
                  <c:v>204.06359295999999</c:v>
                </c:pt>
                <c:pt idx="9">
                  <c:v>212.25087436799998</c:v>
                </c:pt>
                <c:pt idx="10">
                  <c:v>218.80069949439999</c:v>
                </c:pt>
                <c:pt idx="11">
                  <c:v>224.04055959551999</c:v>
                </c:pt>
                <c:pt idx="12">
                  <c:v>228.232447676416</c:v>
                </c:pt>
                <c:pt idx="13">
                  <c:v>231.58595814113281</c:v>
                </c:pt>
                <c:pt idx="14">
                  <c:v>234.26876651290624</c:v>
                </c:pt>
                <c:pt idx="15">
                  <c:v>236.41501321032499</c:v>
                </c:pt>
                <c:pt idx="16">
                  <c:v>238.13201056826</c:v>
                </c:pt>
                <c:pt idx="17">
                  <c:v>239.50560845460799</c:v>
                </c:pt>
                <c:pt idx="18">
                  <c:v>240.6044867636864</c:v>
                </c:pt>
                <c:pt idx="19">
                  <c:v>241.48358941094912</c:v>
                </c:pt>
                <c:pt idx="20">
                  <c:v>242.1868715287593</c:v>
                </c:pt>
                <c:pt idx="21">
                  <c:v>242.74949722300744</c:v>
                </c:pt>
                <c:pt idx="22">
                  <c:v>243.19959777840594</c:v>
                </c:pt>
                <c:pt idx="23">
                  <c:v>243.55967822272476</c:v>
                </c:pt>
                <c:pt idx="24">
                  <c:v>243.8477425781798</c:v>
                </c:pt>
                <c:pt idx="25">
                  <c:v>244.07819406254384</c:v>
                </c:pt>
                <c:pt idx="26">
                  <c:v>244.26255525003506</c:v>
                </c:pt>
                <c:pt idx="27">
                  <c:v>244.41004420002804</c:v>
                </c:pt>
                <c:pt idx="28">
                  <c:v>244.52803536002244</c:v>
                </c:pt>
                <c:pt idx="29">
                  <c:v>244.62242828801794</c:v>
                </c:pt>
                <c:pt idx="30">
                  <c:v>244.69794263041436</c:v>
                </c:pt>
                <c:pt idx="31">
                  <c:v>244.75835410433149</c:v>
                </c:pt>
                <c:pt idx="32">
                  <c:v>244.80668328346519</c:v>
                </c:pt>
                <c:pt idx="33">
                  <c:v>244.84534662677214</c:v>
                </c:pt>
                <c:pt idx="34">
                  <c:v>244.8762773014177</c:v>
                </c:pt>
                <c:pt idx="35">
                  <c:v>244.90102184113417</c:v>
                </c:pt>
                <c:pt idx="36">
                  <c:v>244.92081747290734</c:v>
                </c:pt>
                <c:pt idx="37">
                  <c:v>244.93665397832586</c:v>
                </c:pt>
                <c:pt idx="38">
                  <c:v>244.94932318266069</c:v>
                </c:pt>
                <c:pt idx="39">
                  <c:v>244.95945854612856</c:v>
                </c:pt>
                <c:pt idx="40">
                  <c:v>244.96756683690285</c:v>
                </c:pt>
                <c:pt idx="41">
                  <c:v>244.97405346952229</c:v>
                </c:pt>
                <c:pt idx="42">
                  <c:v>244.97924277561782</c:v>
                </c:pt>
                <c:pt idx="43">
                  <c:v>244.98339422049426</c:v>
                </c:pt>
              </c:numCache>
            </c:numRef>
          </c:xVal>
          <c:yVal>
            <c:numRef>
              <c:f>Chart!$F$2:$F$45</c:f>
              <c:numCache>
                <c:formatCode>General</c:formatCode>
                <c:ptCount val="44"/>
                <c:pt idx="0">
                  <c:v>60132</c:v>
                </c:pt>
                <c:pt idx="1">
                  <c:v>38699.039999999994</c:v>
                </c:pt>
                <c:pt idx="2">
                  <c:v>24981.945600000003</c:v>
                </c:pt>
                <c:pt idx="3">
                  <c:v>16203.005184</c:v>
                </c:pt>
                <c:pt idx="4">
                  <c:v>10584.483317759999</c:v>
                </c:pt>
                <c:pt idx="5">
                  <c:v>6988.6293233663964</c:v>
                </c:pt>
                <c:pt idx="6">
                  <c:v>4687.282766954494</c:v>
                </c:pt>
                <c:pt idx="7">
                  <c:v>3214.4209708508765</c:v>
                </c:pt>
                <c:pt idx="8">
                  <c:v>2271.789421344562</c:v>
                </c:pt>
                <c:pt idx="9">
                  <c:v>1668.5052296605206</c:v>
                </c:pt>
                <c:pt idx="10">
                  <c:v>1282.403346982733</c:v>
                </c:pt>
                <c:pt idx="11">
                  <c:v>1035.2981420689491</c:v>
                </c:pt>
                <c:pt idx="12">
                  <c:v>877.1508109241272</c:v>
                </c:pt>
                <c:pt idx="13">
                  <c:v>775.93651899144118</c:v>
                </c:pt>
                <c:pt idx="14">
                  <c:v>711.15937215452243</c:v>
                </c:pt>
                <c:pt idx="15">
                  <c:v>669.70199817889454</c:v>
                </c:pt>
                <c:pt idx="16">
                  <c:v>643.16927883449227</c:v>
                </c:pt>
                <c:pt idx="17">
                  <c:v>626.18833845407516</c:v>
                </c:pt>
                <c:pt idx="18">
                  <c:v>615.32053661060809</c:v>
                </c:pt>
                <c:pt idx="19">
                  <c:v>608.3651434307892</c:v>
                </c:pt>
                <c:pt idx="20">
                  <c:v>603.91369179570518</c:v>
                </c:pt>
                <c:pt idx="21">
                  <c:v>601.06476274925126</c:v>
                </c:pt>
                <c:pt idx="22">
                  <c:v>599.24144815952081</c:v>
                </c:pt>
                <c:pt idx="23">
                  <c:v>598.07452682209339</c:v>
                </c:pt>
                <c:pt idx="24">
                  <c:v>597.32769716613973</c:v>
                </c:pt>
                <c:pt idx="25">
                  <c:v>596.84972618632946</c:v>
                </c:pt>
                <c:pt idx="26">
                  <c:v>596.54382475925092</c:v>
                </c:pt>
                <c:pt idx="27">
                  <c:v>596.34804784592052</c:v>
                </c:pt>
                <c:pt idx="28">
                  <c:v>596.22275062138908</c:v>
                </c:pt>
                <c:pt idx="29">
                  <c:v>596.14256039768895</c:v>
                </c:pt>
                <c:pt idx="30">
                  <c:v>596.09123865452091</c:v>
                </c:pt>
                <c:pt idx="31">
                  <c:v>596.05839273889342</c:v>
                </c:pt>
                <c:pt idx="32">
                  <c:v>596.03737135289168</c:v>
                </c:pt>
                <c:pt idx="33">
                  <c:v>596.02391766585072</c:v>
                </c:pt>
                <c:pt idx="34">
                  <c:v>596.01530730614456</c:v>
                </c:pt>
                <c:pt idx="35">
                  <c:v>596.00979667593253</c:v>
                </c:pt>
                <c:pt idx="36">
                  <c:v>596.00626987259682</c:v>
                </c:pt>
                <c:pt idx="37">
                  <c:v>596.00401271846192</c:v>
                </c:pt>
                <c:pt idx="38">
                  <c:v>596.00256813981559</c:v>
                </c:pt>
                <c:pt idx="39">
                  <c:v>596.0016436094819</c:v>
                </c:pt>
                <c:pt idx="40">
                  <c:v>596.00105191006844</c:v>
                </c:pt>
                <c:pt idx="41">
                  <c:v>596.00067322244388</c:v>
                </c:pt>
                <c:pt idx="42">
                  <c:v>596.00043086236406</c:v>
                </c:pt>
                <c:pt idx="43">
                  <c:v>596.00027575191291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54-408C-B2D9-51F7BD5EF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072234"/>
        <c:axId val="1467773269"/>
      </c:scatterChart>
      <c:valAx>
        <c:axId val="14770722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Roboto"/>
                  </a:rPr>
                  <a:t>Value of B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467773269"/>
        <c:crosses val="autoZero"/>
        <c:crossBetween val="midCat"/>
      </c:valAx>
      <c:valAx>
        <c:axId val="1467773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Roboto"/>
                  </a:rPr>
                  <a:t>MSE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477072234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495300</xdr:colOff>
      <xdr:row>5</xdr:row>
      <xdr:rowOff>0</xdr:rowOff>
    </xdr:from>
    <xdr:ext cx="7343775" cy="401002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2"/>
  <sheetViews>
    <sheetView workbookViewId="0">
      <selection activeCell="B18" sqref="B18"/>
    </sheetView>
  </sheetViews>
  <sheetFormatPr defaultColWidth="14.42578125" defaultRowHeight="15.75" customHeight="1" x14ac:dyDescent="0.2"/>
  <cols>
    <col min="7" max="7" width="23.5703125" customWidth="1"/>
  </cols>
  <sheetData>
    <row r="1" spans="1:7" ht="12.75" x14ac:dyDescent="0.2">
      <c r="A1" s="1" t="s">
        <v>0</v>
      </c>
      <c r="B1" s="1" t="s">
        <v>1</v>
      </c>
      <c r="D1" s="2"/>
      <c r="E1" s="1" t="s">
        <v>2</v>
      </c>
      <c r="F1" s="1" t="s">
        <v>3</v>
      </c>
      <c r="G1" s="1" t="s">
        <v>4</v>
      </c>
    </row>
    <row r="2" spans="1:7" ht="12.75" x14ac:dyDescent="0.2">
      <c r="A2" s="3">
        <v>800</v>
      </c>
      <c r="B2" s="4">
        <v>200</v>
      </c>
      <c r="D2" s="2" t="s">
        <v>5</v>
      </c>
      <c r="E2" s="5">
        <v>0</v>
      </c>
      <c r="F2" s="6">
        <f>2 * ((E2-$B$2) + (E2-$B$3) + (E2-$B$4) + (E2-$B$5) + (E2-$B$6) + (E2-$B$7)) / 6</f>
        <v>-490</v>
      </c>
      <c r="G2" s="14">
        <f>F2*$B$10</f>
        <v>-4.9000000000000004</v>
      </c>
    </row>
    <row r="3" spans="1:7" ht="12.75" x14ac:dyDescent="0.2">
      <c r="A3" s="3">
        <v>950</v>
      </c>
      <c r="B3" s="4">
        <v>230</v>
      </c>
      <c r="E3" s="16">
        <f>E2-G2</f>
        <v>4.9000000000000004</v>
      </c>
      <c r="G3" s="6"/>
    </row>
    <row r="4" spans="1:7" ht="12.75" x14ac:dyDescent="0.2">
      <c r="A4" s="3">
        <v>1040</v>
      </c>
      <c r="B4" s="4">
        <v>245</v>
      </c>
      <c r="G4" s="6"/>
    </row>
    <row r="5" spans="1:7" ht="12.75" x14ac:dyDescent="0.2">
      <c r="A5" s="3">
        <v>1120</v>
      </c>
      <c r="B5" s="4">
        <v>274</v>
      </c>
      <c r="G5" s="6"/>
    </row>
    <row r="6" spans="1:7" ht="12.75" x14ac:dyDescent="0.2">
      <c r="A6" s="3">
        <v>1250</v>
      </c>
      <c r="B6" s="4">
        <v>259</v>
      </c>
      <c r="G6" s="6"/>
    </row>
    <row r="7" spans="1:7" ht="12.75" x14ac:dyDescent="0.2">
      <c r="A7" s="3">
        <v>1350</v>
      </c>
      <c r="B7" s="4">
        <v>262</v>
      </c>
      <c r="G7" s="6"/>
    </row>
    <row r="8" spans="1:7" ht="15.75" customHeight="1" x14ac:dyDescent="0.2">
      <c r="G8" s="6"/>
    </row>
    <row r="10" spans="1:7" ht="12.75" x14ac:dyDescent="0.2">
      <c r="A10" s="1" t="s">
        <v>6</v>
      </c>
      <c r="B10" s="5">
        <v>0.01</v>
      </c>
    </row>
    <row r="12" spans="1:7" ht="15.75" customHeight="1" x14ac:dyDescent="0.2">
      <c r="A12" s="1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5"/>
  <sheetViews>
    <sheetView workbookViewId="0">
      <selection activeCell="E3" sqref="E3"/>
    </sheetView>
  </sheetViews>
  <sheetFormatPr defaultColWidth="14.42578125" defaultRowHeight="15.75" customHeight="1" x14ac:dyDescent="0.2"/>
  <cols>
    <col min="7" max="7" width="23.5703125" customWidth="1"/>
  </cols>
  <sheetData>
    <row r="1" spans="1:7" ht="15.75" customHeight="1" x14ac:dyDescent="0.2">
      <c r="A1" s="1" t="s">
        <v>0</v>
      </c>
      <c r="B1" s="1" t="s">
        <v>1</v>
      </c>
      <c r="D1" s="2"/>
      <c r="E1" s="1" t="s">
        <v>2</v>
      </c>
      <c r="F1" s="1" t="s">
        <v>3</v>
      </c>
      <c r="G1" s="1" t="s">
        <v>4</v>
      </c>
    </row>
    <row r="2" spans="1:7" ht="15.75" customHeight="1" x14ac:dyDescent="0.2">
      <c r="A2" s="3">
        <v>800</v>
      </c>
      <c r="B2" s="4">
        <v>200</v>
      </c>
      <c r="D2" s="2" t="s">
        <v>5</v>
      </c>
      <c r="E2" s="7">
        <v>1</v>
      </c>
      <c r="F2" s="6">
        <f t="shared" ref="F2:F45" si="0">2 * ((E2-$B$2) + (E2-$B$3) + (E2-$B$4) + (E2-$B$5) + (E2-$B$6) + (E2-$B$7)) / 6</f>
        <v>-488</v>
      </c>
      <c r="G2" s="5">
        <f t="shared" ref="G2:G45" si="1">F2*$B$10</f>
        <v>-146.4</v>
      </c>
    </row>
    <row r="3" spans="1:7" ht="15.75" customHeight="1" x14ac:dyDescent="0.2">
      <c r="A3" s="3">
        <v>950</v>
      </c>
      <c r="B3" s="4">
        <v>230</v>
      </c>
      <c r="E3">
        <f t="shared" ref="E3:E45" si="2">E2 - G2</f>
        <v>147.4</v>
      </c>
      <c r="F3" s="6">
        <f t="shared" si="0"/>
        <v>-195.20000000000002</v>
      </c>
      <c r="G3" s="5">
        <f t="shared" si="1"/>
        <v>-58.56</v>
      </c>
    </row>
    <row r="4" spans="1:7" ht="15.75" customHeight="1" x14ac:dyDescent="0.2">
      <c r="A4" s="3">
        <v>1040</v>
      </c>
      <c r="B4" s="4">
        <v>245</v>
      </c>
      <c r="E4">
        <f t="shared" si="2"/>
        <v>205.96</v>
      </c>
      <c r="F4" s="6">
        <f t="shared" si="0"/>
        <v>-78.079999999999984</v>
      </c>
      <c r="G4" s="5">
        <f t="shared" si="1"/>
        <v>-23.423999999999996</v>
      </c>
    </row>
    <row r="5" spans="1:7" ht="15.75" customHeight="1" x14ac:dyDescent="0.2">
      <c r="A5" s="3">
        <v>1120</v>
      </c>
      <c r="B5" s="4">
        <v>274</v>
      </c>
      <c r="E5">
        <f t="shared" si="2"/>
        <v>229.38400000000001</v>
      </c>
      <c r="F5" s="6">
        <f t="shared" si="0"/>
        <v>-31.231999999999971</v>
      </c>
      <c r="G5" s="5">
        <f t="shared" si="1"/>
        <v>-9.3695999999999913</v>
      </c>
    </row>
    <row r="6" spans="1:7" ht="15.75" customHeight="1" x14ac:dyDescent="0.2">
      <c r="A6" s="3">
        <v>1250</v>
      </c>
      <c r="B6" s="4">
        <v>259</v>
      </c>
      <c r="E6">
        <f t="shared" si="2"/>
        <v>238.75360000000001</v>
      </c>
      <c r="F6" s="6">
        <f t="shared" si="0"/>
        <v>-12.492799999999988</v>
      </c>
      <c r="G6" s="5">
        <f t="shared" si="1"/>
        <v>-3.7478399999999965</v>
      </c>
    </row>
    <row r="7" spans="1:7" ht="15.75" customHeight="1" x14ac:dyDescent="0.2">
      <c r="A7" s="3">
        <v>1350</v>
      </c>
      <c r="B7" s="4">
        <v>262</v>
      </c>
      <c r="E7">
        <f t="shared" si="2"/>
        <v>242.50144</v>
      </c>
      <c r="F7" s="6">
        <f t="shared" si="0"/>
        <v>-4.9971199999999953</v>
      </c>
      <c r="G7" s="5">
        <f t="shared" si="1"/>
        <v>-1.4991359999999985</v>
      </c>
    </row>
    <row r="8" spans="1:7" ht="15.75" customHeight="1" x14ac:dyDescent="0.2">
      <c r="E8">
        <f t="shared" si="2"/>
        <v>244.000576</v>
      </c>
      <c r="F8" s="6">
        <f t="shared" si="0"/>
        <v>-1.9988480000000095</v>
      </c>
      <c r="G8" s="5">
        <f t="shared" si="1"/>
        <v>-0.59965440000000281</v>
      </c>
    </row>
    <row r="9" spans="1:7" ht="15.75" customHeight="1" x14ac:dyDescent="0.2">
      <c r="E9">
        <f t="shared" si="2"/>
        <v>244.60023039999999</v>
      </c>
      <c r="F9" s="6">
        <f t="shared" si="0"/>
        <v>-0.79953920000002654</v>
      </c>
      <c r="G9" s="5">
        <f t="shared" si="1"/>
        <v>-0.23986176000000795</v>
      </c>
    </row>
    <row r="10" spans="1:7" ht="15.75" customHeight="1" x14ac:dyDescent="0.2">
      <c r="A10" s="1" t="s">
        <v>6</v>
      </c>
      <c r="B10" s="7">
        <v>0.3</v>
      </c>
      <c r="E10">
        <f t="shared" si="2"/>
        <v>244.84009215999998</v>
      </c>
      <c r="F10" s="6">
        <f t="shared" si="0"/>
        <v>-0.31981568000003335</v>
      </c>
      <c r="G10" s="5">
        <f t="shared" si="1"/>
        <v>-9.5944704000009998E-2</v>
      </c>
    </row>
    <row r="11" spans="1:7" ht="15.75" customHeight="1" x14ac:dyDescent="0.2">
      <c r="E11">
        <f t="shared" si="2"/>
        <v>244.93603686399999</v>
      </c>
      <c r="F11" s="6">
        <f t="shared" si="0"/>
        <v>-0.12792627200002471</v>
      </c>
      <c r="G11" s="5">
        <f t="shared" si="1"/>
        <v>-3.8377881600007414E-2</v>
      </c>
    </row>
    <row r="12" spans="1:7" ht="15.75" customHeight="1" x14ac:dyDescent="0.2">
      <c r="E12">
        <f t="shared" si="2"/>
        <v>244.9744147456</v>
      </c>
      <c r="F12" s="6">
        <f t="shared" si="0"/>
        <v>-5.1170508799998515E-2</v>
      </c>
      <c r="G12" s="5">
        <f t="shared" si="1"/>
        <v>-1.5351152639999553E-2</v>
      </c>
    </row>
    <row r="13" spans="1:7" ht="15.75" customHeight="1" x14ac:dyDescent="0.2">
      <c r="E13">
        <f t="shared" si="2"/>
        <v>244.98976589823999</v>
      </c>
      <c r="F13" s="6">
        <f t="shared" si="0"/>
        <v>-2.0468203520010775E-2</v>
      </c>
      <c r="G13" s="5">
        <f t="shared" si="1"/>
        <v>-6.1404610560032323E-3</v>
      </c>
    </row>
    <row r="14" spans="1:7" ht="15.75" customHeight="1" x14ac:dyDescent="0.2">
      <c r="E14">
        <f t="shared" si="2"/>
        <v>244.99590635929599</v>
      </c>
      <c r="F14" s="6">
        <f t="shared" si="0"/>
        <v>-8.1872814080270473E-3</v>
      </c>
      <c r="G14" s="5">
        <f t="shared" si="1"/>
        <v>-2.4561844224081143E-3</v>
      </c>
    </row>
    <row r="15" spans="1:7" ht="15.75" customHeight="1" x14ac:dyDescent="0.2">
      <c r="E15">
        <f t="shared" si="2"/>
        <v>244.9983625437184</v>
      </c>
      <c r="F15" s="6">
        <f t="shared" si="0"/>
        <v>-3.2749125631994502E-3</v>
      </c>
      <c r="G15" s="5">
        <f t="shared" si="1"/>
        <v>-9.8247376895983503E-4</v>
      </c>
    </row>
    <row r="16" spans="1:7" ht="15.75" customHeight="1" x14ac:dyDescent="0.2">
      <c r="E16">
        <f t="shared" si="2"/>
        <v>244.99934501748737</v>
      </c>
      <c r="F16" s="6">
        <f t="shared" si="0"/>
        <v>-1.3099650252570427E-3</v>
      </c>
      <c r="G16" s="5">
        <f t="shared" si="1"/>
        <v>-3.9298950757711283E-4</v>
      </c>
    </row>
    <row r="17" spans="5:7" ht="15.75" customHeight="1" x14ac:dyDescent="0.2">
      <c r="E17">
        <f t="shared" si="2"/>
        <v>244.99973800699496</v>
      </c>
      <c r="F17" s="6">
        <f t="shared" si="0"/>
        <v>-5.2398601008007972E-4</v>
      </c>
      <c r="G17" s="5">
        <f t="shared" si="1"/>
        <v>-1.5719580302402391E-4</v>
      </c>
    </row>
    <row r="18" spans="5:7" ht="15.75" customHeight="1" x14ac:dyDescent="0.2">
      <c r="E18">
        <f t="shared" si="2"/>
        <v>244.99989520279797</v>
      </c>
      <c r="F18" s="6">
        <f t="shared" si="0"/>
        <v>-2.0959440405476926E-4</v>
      </c>
      <c r="G18" s="5">
        <f t="shared" si="1"/>
        <v>-6.2878321216430777E-5</v>
      </c>
    </row>
    <row r="19" spans="5:7" ht="15.75" customHeight="1" x14ac:dyDescent="0.2">
      <c r="E19">
        <f t="shared" si="2"/>
        <v>244.99995808111919</v>
      </c>
      <c r="F19" s="6">
        <f t="shared" si="0"/>
        <v>-8.3837761621907703E-5</v>
      </c>
      <c r="G19" s="5">
        <f t="shared" si="1"/>
        <v>-2.5151328486572311E-5</v>
      </c>
    </row>
    <row r="20" spans="5:7" ht="15.75" customHeight="1" x14ac:dyDescent="0.2">
      <c r="E20">
        <f t="shared" si="2"/>
        <v>244.99998323244768</v>
      </c>
      <c r="F20" s="6">
        <f t="shared" si="0"/>
        <v>-3.3535104648763081E-5</v>
      </c>
      <c r="G20" s="5">
        <f t="shared" si="1"/>
        <v>-1.0060531394628924E-5</v>
      </c>
    </row>
    <row r="21" spans="5:7" ht="15.75" customHeight="1" x14ac:dyDescent="0.2">
      <c r="E21">
        <f t="shared" si="2"/>
        <v>244.99999329297907</v>
      </c>
      <c r="F21" s="6">
        <f t="shared" si="0"/>
        <v>-1.3414041859505232E-5</v>
      </c>
      <c r="G21" s="5">
        <f t="shared" si="1"/>
        <v>-4.0242125578515697E-6</v>
      </c>
    </row>
    <row r="22" spans="5:7" ht="15.75" customHeight="1" x14ac:dyDescent="0.2">
      <c r="E22">
        <f t="shared" si="2"/>
        <v>244.99999731719163</v>
      </c>
      <c r="F22" s="6">
        <f t="shared" si="0"/>
        <v>-5.365616743802093E-6</v>
      </c>
      <c r="G22" s="5">
        <f t="shared" si="1"/>
        <v>-1.6096850231406278E-6</v>
      </c>
    </row>
    <row r="23" spans="5:7" ht="15.75" customHeight="1" x14ac:dyDescent="0.2">
      <c r="E23">
        <f t="shared" si="2"/>
        <v>244.99999892687666</v>
      </c>
      <c r="F23" s="6">
        <f t="shared" si="0"/>
        <v>-2.1462466861521534E-6</v>
      </c>
      <c r="G23" s="5">
        <f t="shared" si="1"/>
        <v>-6.4387400584564596E-7</v>
      </c>
    </row>
    <row r="24" spans="5:7" ht="15.75" customHeight="1" x14ac:dyDescent="0.2">
      <c r="E24">
        <f t="shared" si="2"/>
        <v>244.99999957075067</v>
      </c>
      <c r="F24" s="6">
        <f t="shared" si="0"/>
        <v>-8.5849865172349382E-7</v>
      </c>
      <c r="G24" s="5">
        <f t="shared" si="1"/>
        <v>-2.5754959551704811E-7</v>
      </c>
    </row>
    <row r="25" spans="5:7" ht="15.75" customHeight="1" x14ac:dyDescent="0.2">
      <c r="E25">
        <f t="shared" si="2"/>
        <v>244.99999982830028</v>
      </c>
      <c r="F25" s="6">
        <f t="shared" si="0"/>
        <v>-3.4339944932071376E-7</v>
      </c>
      <c r="G25" s="5">
        <f t="shared" si="1"/>
        <v>-1.0301983479621412E-7</v>
      </c>
    </row>
    <row r="26" spans="5:7" ht="15.75" customHeight="1" x14ac:dyDescent="0.2">
      <c r="E26">
        <f t="shared" si="2"/>
        <v>244.9999999313201</v>
      </c>
      <c r="F26" s="6">
        <f t="shared" si="0"/>
        <v>-1.3735979109696927E-7</v>
      </c>
      <c r="G26" s="5">
        <f t="shared" si="1"/>
        <v>-4.120793732909078E-8</v>
      </c>
    </row>
    <row r="27" spans="5:7" ht="15.75" customHeight="1" x14ac:dyDescent="0.2">
      <c r="E27">
        <f t="shared" si="2"/>
        <v>244.99999997252803</v>
      </c>
      <c r="F27" s="6">
        <f t="shared" si="0"/>
        <v>-5.4943939176155254E-8</v>
      </c>
      <c r="G27" s="5">
        <f t="shared" si="1"/>
        <v>-1.6483181752846577E-8</v>
      </c>
    </row>
    <row r="28" spans="5:7" ht="15.75" customHeight="1" x14ac:dyDescent="0.2">
      <c r="E28">
        <f t="shared" si="2"/>
        <v>244.9999999890112</v>
      </c>
      <c r="F28" s="6">
        <f t="shared" si="0"/>
        <v>-2.1977598407829646E-8</v>
      </c>
      <c r="G28" s="5">
        <f t="shared" si="1"/>
        <v>-6.5932795223488936E-9</v>
      </c>
    </row>
    <row r="29" spans="5:7" ht="15.75" customHeight="1" x14ac:dyDescent="0.2">
      <c r="E29">
        <f t="shared" si="2"/>
        <v>244.99999999560447</v>
      </c>
      <c r="F29" s="6">
        <f t="shared" si="0"/>
        <v>-8.7910621004994027E-9</v>
      </c>
      <c r="G29" s="5">
        <f t="shared" si="1"/>
        <v>-2.6373186301498207E-9</v>
      </c>
    </row>
    <row r="30" spans="5:7" ht="15.75" customHeight="1" x14ac:dyDescent="0.2">
      <c r="E30">
        <f t="shared" si="2"/>
        <v>244.99999999824178</v>
      </c>
      <c r="F30" s="6">
        <f t="shared" si="0"/>
        <v>-3.5164475775673054E-9</v>
      </c>
      <c r="G30" s="5">
        <f t="shared" si="1"/>
        <v>-1.0549342732701915E-9</v>
      </c>
    </row>
    <row r="31" spans="5:7" ht="15.75" customHeight="1" x14ac:dyDescent="0.2">
      <c r="E31">
        <f t="shared" si="2"/>
        <v>244.9999999992967</v>
      </c>
      <c r="F31" s="6">
        <f t="shared" si="0"/>
        <v>-1.4065903997106943E-9</v>
      </c>
      <c r="G31" s="5">
        <f t="shared" si="1"/>
        <v>-4.219771199132083E-10</v>
      </c>
    </row>
    <row r="32" spans="5:7" ht="15.75" customHeight="1" x14ac:dyDescent="0.2">
      <c r="E32">
        <f t="shared" si="2"/>
        <v>244.99999999971868</v>
      </c>
      <c r="F32" s="6">
        <f t="shared" si="0"/>
        <v>-5.6263615988427773E-10</v>
      </c>
      <c r="G32" s="5">
        <f t="shared" si="1"/>
        <v>-1.6879084796528332E-10</v>
      </c>
    </row>
    <row r="33" spans="5:7" ht="15.75" customHeight="1" x14ac:dyDescent="0.2">
      <c r="E33">
        <f t="shared" si="2"/>
        <v>244.99999999988748</v>
      </c>
      <c r="F33" s="6">
        <f t="shared" si="0"/>
        <v>-2.2504309526993893E-10</v>
      </c>
      <c r="G33" s="5">
        <f t="shared" si="1"/>
        <v>-6.7512928580981682E-11</v>
      </c>
    </row>
    <row r="34" spans="5:7" ht="15.75" customHeight="1" x14ac:dyDescent="0.2">
      <c r="E34">
        <f t="shared" si="2"/>
        <v>244.99999999995498</v>
      </c>
      <c r="F34" s="6">
        <f t="shared" si="0"/>
        <v>-9.0039975475519896E-11</v>
      </c>
      <c r="G34" s="5">
        <f t="shared" si="1"/>
        <v>-2.7011992642655968E-11</v>
      </c>
    </row>
    <row r="35" spans="5:7" ht="15.75" customHeight="1" x14ac:dyDescent="0.2">
      <c r="E35">
        <f t="shared" si="2"/>
        <v>244.99999999998198</v>
      </c>
      <c r="F35" s="6">
        <f t="shared" si="0"/>
        <v>-3.6038727557752281E-11</v>
      </c>
      <c r="G35" s="5">
        <f t="shared" si="1"/>
        <v>-1.0811618267325684E-11</v>
      </c>
    </row>
    <row r="36" spans="5:7" ht="15.75" customHeight="1" x14ac:dyDescent="0.2">
      <c r="E36">
        <f t="shared" si="2"/>
        <v>244.99999999999278</v>
      </c>
      <c r="F36" s="6">
        <f t="shared" si="0"/>
        <v>-1.4438228390645236E-11</v>
      </c>
      <c r="G36" s="5">
        <f t="shared" si="1"/>
        <v>-4.3314685171935709E-12</v>
      </c>
    </row>
    <row r="37" spans="5:7" ht="15.75" customHeight="1" x14ac:dyDescent="0.2">
      <c r="E37">
        <f t="shared" si="2"/>
        <v>244.9999999999971</v>
      </c>
      <c r="F37" s="6">
        <f t="shared" si="0"/>
        <v>-5.7980287238024175E-12</v>
      </c>
      <c r="G37" s="5">
        <f t="shared" si="1"/>
        <v>-1.7394086171407251E-12</v>
      </c>
    </row>
    <row r="38" spans="5:7" ht="12.75" x14ac:dyDescent="0.2">
      <c r="E38">
        <f t="shared" si="2"/>
        <v>244.99999999999883</v>
      </c>
      <c r="F38" s="6">
        <f t="shared" si="0"/>
        <v>-2.3305801732931286E-12</v>
      </c>
      <c r="G38" s="5">
        <f t="shared" si="1"/>
        <v>-6.9917405198793852E-13</v>
      </c>
    </row>
    <row r="39" spans="5:7" ht="12.75" x14ac:dyDescent="0.2">
      <c r="E39">
        <f t="shared" si="2"/>
        <v>244.99999999999955</v>
      </c>
      <c r="F39" s="6">
        <f t="shared" si="0"/>
        <v>-9.0949470177292824E-13</v>
      </c>
      <c r="G39" s="5">
        <f t="shared" si="1"/>
        <v>-2.7284841053187846E-13</v>
      </c>
    </row>
    <row r="40" spans="5:7" ht="12.75" x14ac:dyDescent="0.2">
      <c r="E40">
        <f t="shared" si="2"/>
        <v>244.99999999999983</v>
      </c>
      <c r="F40" s="6">
        <f t="shared" si="0"/>
        <v>-3.4106051316484809E-13</v>
      </c>
      <c r="G40" s="5">
        <f t="shared" si="1"/>
        <v>-1.0231815394945442E-13</v>
      </c>
    </row>
    <row r="41" spans="5:7" ht="12.75" x14ac:dyDescent="0.2">
      <c r="E41">
        <f t="shared" si="2"/>
        <v>244.99999999999994</v>
      </c>
      <c r="F41" s="6">
        <f t="shared" si="0"/>
        <v>-1.1368683772161603E-13</v>
      </c>
      <c r="G41" s="5">
        <f t="shared" si="1"/>
        <v>-3.4106051316484808E-14</v>
      </c>
    </row>
    <row r="42" spans="5:7" ht="12.75" x14ac:dyDescent="0.2">
      <c r="E42">
        <f t="shared" si="2"/>
        <v>244.99999999999997</v>
      </c>
      <c r="F42" s="6">
        <f t="shared" si="0"/>
        <v>-5.6843418860808015E-14</v>
      </c>
      <c r="G42" s="5">
        <f t="shared" si="1"/>
        <v>-1.7053025658242404E-14</v>
      </c>
    </row>
    <row r="43" spans="5:7" ht="12.75" x14ac:dyDescent="0.2">
      <c r="E43">
        <f t="shared" si="2"/>
        <v>245</v>
      </c>
      <c r="F43" s="6">
        <f t="shared" si="0"/>
        <v>0</v>
      </c>
      <c r="G43" s="5">
        <f t="shared" si="1"/>
        <v>0</v>
      </c>
    </row>
    <row r="44" spans="5:7" ht="12.75" x14ac:dyDescent="0.2">
      <c r="E44">
        <f t="shared" si="2"/>
        <v>245</v>
      </c>
      <c r="F44" s="6">
        <f t="shared" si="0"/>
        <v>0</v>
      </c>
      <c r="G44" s="5">
        <f t="shared" si="1"/>
        <v>0</v>
      </c>
    </row>
    <row r="45" spans="5:7" ht="12.75" x14ac:dyDescent="0.2">
      <c r="E45">
        <f t="shared" si="2"/>
        <v>245</v>
      </c>
      <c r="F45" s="6">
        <f t="shared" si="0"/>
        <v>0</v>
      </c>
      <c r="G45" s="5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5"/>
  <sheetViews>
    <sheetView workbookViewId="0">
      <selection activeCell="J50" sqref="J50"/>
    </sheetView>
  </sheetViews>
  <sheetFormatPr defaultColWidth="14.42578125" defaultRowHeight="15.75" customHeight="1" x14ac:dyDescent="0.2"/>
  <cols>
    <col min="8" max="8" width="23.5703125" customWidth="1"/>
  </cols>
  <sheetData>
    <row r="1" spans="1:8" ht="15.75" customHeight="1" x14ac:dyDescent="0.2">
      <c r="A1" s="1" t="s">
        <v>0</v>
      </c>
      <c r="B1" s="1" t="s">
        <v>1</v>
      </c>
      <c r="D1" s="2"/>
      <c r="E1" s="1" t="s">
        <v>2</v>
      </c>
      <c r="F1" s="8" t="s">
        <v>7</v>
      </c>
      <c r="G1" s="1" t="s">
        <v>3</v>
      </c>
      <c r="H1" s="1" t="s">
        <v>4</v>
      </c>
    </row>
    <row r="2" spans="1:8" ht="15.75" customHeight="1" x14ac:dyDescent="0.2">
      <c r="A2" s="3">
        <v>800</v>
      </c>
      <c r="B2" s="4">
        <v>200</v>
      </c>
      <c r="D2" s="2" t="s">
        <v>5</v>
      </c>
      <c r="E2" s="7">
        <v>1</v>
      </c>
      <c r="F2" s="7">
        <f>(POWER(($B$2-E2), 2) + POWER(($B$3-E2), 2) + POWER(($B$4-E2), 2) + POWER(($B$5-E2), 2) + POWER(($B$6-E2), 2) + POWER(($B$7-E2), 2))/ 6</f>
        <v>60132</v>
      </c>
      <c r="G2" s="6">
        <f t="shared" ref="G2:G45" si="0">2 * ((E2-$B$2) + (E2-$B$3) + (E2-$B$4) + (E2-$B$5) + (E2-$B$6) + (E2-$B$7)) / 6</f>
        <v>-488</v>
      </c>
      <c r="H2" s="5">
        <f t="shared" ref="H2:H45" si="1">G2*$B$10</f>
        <v>-48.800000000000004</v>
      </c>
    </row>
    <row r="3" spans="1:8" ht="15.75" customHeight="1" x14ac:dyDescent="0.2">
      <c r="A3" s="3">
        <v>950</v>
      </c>
      <c r="B3" s="4">
        <v>230</v>
      </c>
      <c r="E3">
        <f t="shared" ref="E3:E45" si="2">E2 - H2</f>
        <v>49.800000000000004</v>
      </c>
      <c r="F3" s="7">
        <f t="shared" ref="F3:F45" si="3">(POWER(($B$2-E3), 2) + POWER(($B$3-E3), 2) + POWER(($B$4-E3), 2) + POWER(($B$5-E3), 2) + POWER(($B$6-E3), 2) + POWER(($B$7-E3), 2))/ 6</f>
        <v>38699.039999999994</v>
      </c>
      <c r="G3" s="6">
        <f t="shared" si="0"/>
        <v>-390.40000000000003</v>
      </c>
      <c r="H3" s="5">
        <f t="shared" si="1"/>
        <v>-39.040000000000006</v>
      </c>
    </row>
    <row r="4" spans="1:8" ht="15.75" customHeight="1" x14ac:dyDescent="0.2">
      <c r="A4" s="3">
        <v>1040</v>
      </c>
      <c r="B4" s="4">
        <v>245</v>
      </c>
      <c r="E4">
        <f t="shared" si="2"/>
        <v>88.84</v>
      </c>
      <c r="F4" s="7">
        <f t="shared" si="3"/>
        <v>24981.945600000003</v>
      </c>
      <c r="G4" s="6">
        <f t="shared" si="0"/>
        <v>-312.32</v>
      </c>
      <c r="H4" s="5">
        <f t="shared" si="1"/>
        <v>-31.231999999999999</v>
      </c>
    </row>
    <row r="5" spans="1:8" ht="15.75" customHeight="1" x14ac:dyDescent="0.2">
      <c r="A5" s="3">
        <v>1120</v>
      </c>
      <c r="B5" s="4">
        <v>274</v>
      </c>
      <c r="E5">
        <f t="shared" si="2"/>
        <v>120.072</v>
      </c>
      <c r="F5" s="7">
        <f t="shared" si="3"/>
        <v>16203.005184</v>
      </c>
      <c r="G5" s="6">
        <f t="shared" si="0"/>
        <v>-249.85599999999999</v>
      </c>
      <c r="H5" s="5">
        <f t="shared" si="1"/>
        <v>-24.985600000000002</v>
      </c>
    </row>
    <row r="6" spans="1:8" ht="15.75" customHeight="1" x14ac:dyDescent="0.2">
      <c r="A6" s="3">
        <v>1250</v>
      </c>
      <c r="B6" s="4">
        <v>259</v>
      </c>
      <c r="E6">
        <f t="shared" si="2"/>
        <v>145.05760000000001</v>
      </c>
      <c r="F6" s="7">
        <f t="shared" si="3"/>
        <v>10584.483317759999</v>
      </c>
      <c r="G6" s="6">
        <f t="shared" si="0"/>
        <v>-199.88480000000001</v>
      </c>
      <c r="H6" s="5">
        <f t="shared" si="1"/>
        <v>-19.988480000000003</v>
      </c>
    </row>
    <row r="7" spans="1:8" ht="15.75" customHeight="1" x14ac:dyDescent="0.2">
      <c r="A7" s="3">
        <v>1350</v>
      </c>
      <c r="B7" s="4">
        <v>262</v>
      </c>
      <c r="E7">
        <f t="shared" si="2"/>
        <v>165.04608000000002</v>
      </c>
      <c r="F7" s="7">
        <f t="shared" si="3"/>
        <v>6988.6293233663964</v>
      </c>
      <c r="G7" s="6">
        <f t="shared" si="0"/>
        <v>-159.90783999999996</v>
      </c>
      <c r="H7" s="5">
        <f t="shared" si="1"/>
        <v>-15.990783999999998</v>
      </c>
    </row>
    <row r="8" spans="1:8" ht="15.75" customHeight="1" x14ac:dyDescent="0.2">
      <c r="E8">
        <f t="shared" si="2"/>
        <v>181.03686400000001</v>
      </c>
      <c r="F8" s="7">
        <f t="shared" si="3"/>
        <v>4687.282766954494</v>
      </c>
      <c r="G8" s="6">
        <f t="shared" si="0"/>
        <v>-127.92627199999997</v>
      </c>
      <c r="H8" s="5">
        <f t="shared" si="1"/>
        <v>-12.792627199999998</v>
      </c>
    </row>
    <row r="9" spans="1:8" ht="15.75" customHeight="1" x14ac:dyDescent="0.2">
      <c r="E9">
        <f t="shared" si="2"/>
        <v>193.82949120000001</v>
      </c>
      <c r="F9" s="7">
        <f t="shared" si="3"/>
        <v>3214.4209708508765</v>
      </c>
      <c r="G9" s="6">
        <f t="shared" si="0"/>
        <v>-102.34101759999999</v>
      </c>
      <c r="H9" s="5">
        <f t="shared" si="1"/>
        <v>-10.23410176</v>
      </c>
    </row>
    <row r="10" spans="1:8" ht="15.75" customHeight="1" x14ac:dyDescent="0.2">
      <c r="A10" s="1" t="s">
        <v>6</v>
      </c>
      <c r="B10" s="7">
        <v>0.1</v>
      </c>
      <c r="E10">
        <f t="shared" si="2"/>
        <v>204.06359295999999</v>
      </c>
      <c r="F10" s="7">
        <f t="shared" si="3"/>
        <v>2271.789421344562</v>
      </c>
      <c r="G10" s="6">
        <f t="shared" si="0"/>
        <v>-81.872814080000012</v>
      </c>
      <c r="H10" s="5">
        <f t="shared" si="1"/>
        <v>-8.1872814080000023</v>
      </c>
    </row>
    <row r="11" spans="1:8" ht="15.75" customHeight="1" x14ac:dyDescent="0.2">
      <c r="E11">
        <f t="shared" si="2"/>
        <v>212.25087436799998</v>
      </c>
      <c r="F11" s="7">
        <f t="shared" si="3"/>
        <v>1668.5052296605206</v>
      </c>
      <c r="G11" s="6">
        <f t="shared" si="0"/>
        <v>-65.498251264000032</v>
      </c>
      <c r="H11" s="5">
        <f t="shared" si="1"/>
        <v>-6.5498251264000036</v>
      </c>
    </row>
    <row r="12" spans="1:8" ht="15.75" customHeight="1" x14ac:dyDescent="0.2">
      <c r="E12">
        <f t="shared" si="2"/>
        <v>218.80069949439999</v>
      </c>
      <c r="F12" s="7">
        <f t="shared" si="3"/>
        <v>1282.403346982733</v>
      </c>
      <c r="G12" s="6">
        <f t="shared" si="0"/>
        <v>-52.398601011200014</v>
      </c>
      <c r="H12" s="5">
        <f t="shared" si="1"/>
        <v>-5.2398601011200014</v>
      </c>
    </row>
    <row r="13" spans="1:8" ht="15.75" customHeight="1" x14ac:dyDescent="0.2">
      <c r="E13">
        <f t="shared" si="2"/>
        <v>224.04055959551999</v>
      </c>
      <c r="F13" s="7">
        <f t="shared" si="3"/>
        <v>1035.2981420689491</v>
      </c>
      <c r="G13" s="6">
        <f t="shared" si="0"/>
        <v>-41.918880808960012</v>
      </c>
      <c r="H13" s="5">
        <f t="shared" si="1"/>
        <v>-4.1918880808960015</v>
      </c>
    </row>
    <row r="14" spans="1:8" ht="15.75" customHeight="1" x14ac:dyDescent="0.2">
      <c r="E14">
        <f t="shared" si="2"/>
        <v>228.232447676416</v>
      </c>
      <c r="F14" s="7">
        <f t="shared" si="3"/>
        <v>877.1508109241272</v>
      </c>
      <c r="G14" s="6">
        <f t="shared" si="0"/>
        <v>-33.535104647167998</v>
      </c>
      <c r="H14" s="5">
        <f t="shared" si="1"/>
        <v>-3.3535104647168001</v>
      </c>
    </row>
    <row r="15" spans="1:8" ht="15.75" customHeight="1" x14ac:dyDescent="0.2">
      <c r="E15">
        <f t="shared" si="2"/>
        <v>231.58595814113281</v>
      </c>
      <c r="F15" s="7">
        <f t="shared" si="3"/>
        <v>775.93651899144118</v>
      </c>
      <c r="G15" s="6">
        <f t="shared" si="0"/>
        <v>-26.828083717734387</v>
      </c>
      <c r="H15" s="5">
        <f t="shared" si="1"/>
        <v>-2.6828083717734388</v>
      </c>
    </row>
    <row r="16" spans="1:8" ht="15.75" customHeight="1" x14ac:dyDescent="0.2">
      <c r="E16">
        <f t="shared" si="2"/>
        <v>234.26876651290624</v>
      </c>
      <c r="F16" s="7">
        <f t="shared" si="3"/>
        <v>711.15937215452243</v>
      </c>
      <c r="G16" s="6">
        <f t="shared" si="0"/>
        <v>-21.462466974187521</v>
      </c>
      <c r="H16" s="5">
        <f t="shared" si="1"/>
        <v>-2.1462466974187522</v>
      </c>
    </row>
    <row r="17" spans="5:8" ht="15.75" customHeight="1" x14ac:dyDescent="0.2">
      <c r="E17">
        <f t="shared" si="2"/>
        <v>236.41501321032499</v>
      </c>
      <c r="F17" s="7">
        <f t="shared" si="3"/>
        <v>669.70199817889454</v>
      </c>
      <c r="G17" s="6">
        <f t="shared" si="0"/>
        <v>-17.169973579350028</v>
      </c>
      <c r="H17" s="5">
        <f t="shared" si="1"/>
        <v>-1.7169973579350029</v>
      </c>
    </row>
    <row r="18" spans="5:8" ht="15.75" customHeight="1" x14ac:dyDescent="0.2">
      <c r="E18">
        <f t="shared" si="2"/>
        <v>238.13201056826</v>
      </c>
      <c r="F18" s="7">
        <f t="shared" si="3"/>
        <v>643.16927883449227</v>
      </c>
      <c r="G18" s="6">
        <f t="shared" si="0"/>
        <v>-13.73597886348</v>
      </c>
      <c r="H18" s="5">
        <f t="shared" si="1"/>
        <v>-1.3735978863480001</v>
      </c>
    </row>
    <row r="19" spans="5:8" ht="15.75" customHeight="1" x14ac:dyDescent="0.2">
      <c r="E19">
        <f t="shared" si="2"/>
        <v>239.50560845460799</v>
      </c>
      <c r="F19" s="7">
        <f t="shared" si="3"/>
        <v>626.18833845407516</v>
      </c>
      <c r="G19" s="6">
        <f t="shared" si="0"/>
        <v>-10.988783090784011</v>
      </c>
      <c r="H19" s="5">
        <f t="shared" si="1"/>
        <v>-1.0988783090784011</v>
      </c>
    </row>
    <row r="20" spans="5:8" ht="15.75" customHeight="1" x14ac:dyDescent="0.2">
      <c r="E20">
        <f t="shared" si="2"/>
        <v>240.6044867636864</v>
      </c>
      <c r="F20" s="7">
        <f t="shared" si="3"/>
        <v>615.32053661060809</v>
      </c>
      <c r="G20" s="6">
        <f t="shared" si="0"/>
        <v>-8.7910264726272089</v>
      </c>
      <c r="H20" s="5">
        <f t="shared" si="1"/>
        <v>-0.87910264726272092</v>
      </c>
    </row>
    <row r="21" spans="5:8" ht="15.75" customHeight="1" x14ac:dyDescent="0.2">
      <c r="E21">
        <f t="shared" si="2"/>
        <v>241.48358941094912</v>
      </c>
      <c r="F21" s="7">
        <f t="shared" si="3"/>
        <v>608.3651434307892</v>
      </c>
      <c r="G21" s="6">
        <f t="shared" si="0"/>
        <v>-7.0328211781017558</v>
      </c>
      <c r="H21" s="5">
        <f t="shared" si="1"/>
        <v>-0.70328211781017558</v>
      </c>
    </row>
    <row r="22" spans="5:8" ht="15.75" customHeight="1" x14ac:dyDescent="0.2">
      <c r="E22">
        <f t="shared" si="2"/>
        <v>242.1868715287593</v>
      </c>
      <c r="F22" s="7">
        <f t="shared" si="3"/>
        <v>603.91369179570518</v>
      </c>
      <c r="G22" s="6">
        <f t="shared" si="0"/>
        <v>-5.6262569424814046</v>
      </c>
      <c r="H22" s="5">
        <f t="shared" si="1"/>
        <v>-0.56262569424814046</v>
      </c>
    </row>
    <row r="23" spans="5:8" ht="15.75" customHeight="1" x14ac:dyDescent="0.2">
      <c r="E23">
        <f t="shared" si="2"/>
        <v>242.74949722300744</v>
      </c>
      <c r="F23" s="7">
        <f t="shared" si="3"/>
        <v>601.06476274925126</v>
      </c>
      <c r="G23" s="6">
        <f t="shared" si="0"/>
        <v>-4.5010055539851237</v>
      </c>
      <c r="H23" s="5">
        <f t="shared" si="1"/>
        <v>-0.4501005553985124</v>
      </c>
    </row>
    <row r="24" spans="5:8" ht="15.75" customHeight="1" x14ac:dyDescent="0.2">
      <c r="E24">
        <f t="shared" si="2"/>
        <v>243.19959777840594</v>
      </c>
      <c r="F24" s="7">
        <f t="shared" si="3"/>
        <v>599.24144815952081</v>
      </c>
      <c r="G24" s="6">
        <f t="shared" si="0"/>
        <v>-3.6008044431881103</v>
      </c>
      <c r="H24" s="5">
        <f t="shared" si="1"/>
        <v>-0.36008044431881103</v>
      </c>
    </row>
    <row r="25" spans="5:8" ht="15.75" customHeight="1" x14ac:dyDescent="0.2">
      <c r="E25">
        <f t="shared" si="2"/>
        <v>243.55967822272476</v>
      </c>
      <c r="F25" s="7">
        <f t="shared" si="3"/>
        <v>598.07452682209339</v>
      </c>
      <c r="G25" s="6">
        <f t="shared" si="0"/>
        <v>-2.8806435545504883</v>
      </c>
      <c r="H25" s="5">
        <f t="shared" si="1"/>
        <v>-0.28806435545504883</v>
      </c>
    </row>
    <row r="26" spans="5:8" ht="15.75" customHeight="1" x14ac:dyDescent="0.2">
      <c r="E26">
        <f t="shared" si="2"/>
        <v>243.8477425781798</v>
      </c>
      <c r="F26" s="7">
        <f t="shared" si="3"/>
        <v>597.32769716613973</v>
      </c>
      <c r="G26" s="6">
        <f t="shared" si="0"/>
        <v>-2.3045148436403906</v>
      </c>
      <c r="H26" s="5">
        <f t="shared" si="1"/>
        <v>-0.23045148436403906</v>
      </c>
    </row>
    <row r="27" spans="5:8" ht="15.75" customHeight="1" x14ac:dyDescent="0.2">
      <c r="E27">
        <f t="shared" si="2"/>
        <v>244.07819406254384</v>
      </c>
      <c r="F27" s="7">
        <f t="shared" si="3"/>
        <v>596.84972618632946</v>
      </c>
      <c r="G27" s="6">
        <f t="shared" si="0"/>
        <v>-1.8436118749123125</v>
      </c>
      <c r="H27" s="5">
        <f t="shared" si="1"/>
        <v>-0.18436118749123126</v>
      </c>
    </row>
    <row r="28" spans="5:8" ht="15.75" customHeight="1" x14ac:dyDescent="0.2">
      <c r="E28">
        <f t="shared" si="2"/>
        <v>244.26255525003506</v>
      </c>
      <c r="F28" s="7">
        <f t="shared" si="3"/>
        <v>596.54382475925092</v>
      </c>
      <c r="G28" s="6">
        <f t="shared" si="0"/>
        <v>-1.4748894999298727</v>
      </c>
      <c r="H28" s="5">
        <f t="shared" si="1"/>
        <v>-0.14748894999298728</v>
      </c>
    </row>
    <row r="29" spans="5:8" ht="15.75" customHeight="1" x14ac:dyDescent="0.2">
      <c r="E29">
        <f t="shared" si="2"/>
        <v>244.41004420002804</v>
      </c>
      <c r="F29" s="7">
        <f t="shared" si="3"/>
        <v>596.34804784592052</v>
      </c>
      <c r="G29" s="6">
        <f t="shared" si="0"/>
        <v>-1.1799115999439209</v>
      </c>
      <c r="H29" s="5">
        <f t="shared" si="1"/>
        <v>-0.11799115999439209</v>
      </c>
    </row>
    <row r="30" spans="5:8" ht="15.75" customHeight="1" x14ac:dyDescent="0.2">
      <c r="E30">
        <f t="shared" si="2"/>
        <v>244.52803536002244</v>
      </c>
      <c r="F30" s="7">
        <f t="shared" si="3"/>
        <v>596.22275062138908</v>
      </c>
      <c r="G30" s="6">
        <f t="shared" si="0"/>
        <v>-0.943929279955114</v>
      </c>
      <c r="H30" s="5">
        <f t="shared" si="1"/>
        <v>-9.4392927995511411E-2</v>
      </c>
    </row>
    <row r="31" spans="5:8" ht="15.75" customHeight="1" x14ac:dyDescent="0.2">
      <c r="E31">
        <f t="shared" si="2"/>
        <v>244.62242828801794</v>
      </c>
      <c r="F31" s="7">
        <f t="shared" si="3"/>
        <v>596.14256039768895</v>
      </c>
      <c r="G31" s="6">
        <f t="shared" si="0"/>
        <v>-0.75514342396411394</v>
      </c>
      <c r="H31" s="5">
        <f t="shared" si="1"/>
        <v>-7.5514342396411402E-2</v>
      </c>
    </row>
    <row r="32" spans="5:8" ht="15.75" customHeight="1" x14ac:dyDescent="0.2">
      <c r="E32">
        <f t="shared" si="2"/>
        <v>244.69794263041436</v>
      </c>
      <c r="F32" s="7">
        <f t="shared" si="3"/>
        <v>596.09123865452091</v>
      </c>
      <c r="G32" s="6">
        <f t="shared" si="0"/>
        <v>-0.60411473917127978</v>
      </c>
      <c r="H32" s="5">
        <f t="shared" si="1"/>
        <v>-6.0411473917127978E-2</v>
      </c>
    </row>
    <row r="33" spans="5:8" ht="15.75" customHeight="1" x14ac:dyDescent="0.2">
      <c r="E33">
        <f t="shared" si="2"/>
        <v>244.75835410433149</v>
      </c>
      <c r="F33" s="7">
        <f t="shared" si="3"/>
        <v>596.05839273889342</v>
      </c>
      <c r="G33" s="6">
        <f t="shared" si="0"/>
        <v>-0.48329179133702382</v>
      </c>
      <c r="H33" s="5">
        <f t="shared" si="1"/>
        <v>-4.8329179133702382E-2</v>
      </c>
    </row>
    <row r="34" spans="5:8" ht="15.75" customHeight="1" x14ac:dyDescent="0.2">
      <c r="E34">
        <f t="shared" si="2"/>
        <v>244.80668328346519</v>
      </c>
      <c r="F34" s="7">
        <f t="shared" si="3"/>
        <v>596.03737135289168</v>
      </c>
      <c r="G34" s="6">
        <f t="shared" si="0"/>
        <v>-0.38663343306961906</v>
      </c>
      <c r="H34" s="5">
        <f t="shared" si="1"/>
        <v>-3.866334330696191E-2</v>
      </c>
    </row>
    <row r="35" spans="5:8" ht="15.75" customHeight="1" x14ac:dyDescent="0.2">
      <c r="E35">
        <f t="shared" si="2"/>
        <v>244.84534662677214</v>
      </c>
      <c r="F35" s="7">
        <f t="shared" si="3"/>
        <v>596.02391766585072</v>
      </c>
      <c r="G35" s="6">
        <f t="shared" si="0"/>
        <v>-0.30930674645571798</v>
      </c>
      <c r="H35" s="5">
        <f t="shared" si="1"/>
        <v>-3.0930674645571799E-2</v>
      </c>
    </row>
    <row r="36" spans="5:8" ht="15.75" customHeight="1" x14ac:dyDescent="0.2">
      <c r="E36">
        <f t="shared" si="2"/>
        <v>244.8762773014177</v>
      </c>
      <c r="F36" s="7">
        <f t="shared" si="3"/>
        <v>596.01530730614456</v>
      </c>
      <c r="G36" s="6">
        <f t="shared" si="0"/>
        <v>-0.24744539716459713</v>
      </c>
      <c r="H36" s="5">
        <f t="shared" si="1"/>
        <v>-2.4744539716459714E-2</v>
      </c>
    </row>
    <row r="37" spans="5:8" ht="15.75" customHeight="1" x14ac:dyDescent="0.2">
      <c r="E37">
        <f t="shared" si="2"/>
        <v>244.90102184113417</v>
      </c>
      <c r="F37" s="7">
        <f t="shared" si="3"/>
        <v>596.00979667593253</v>
      </c>
      <c r="G37" s="6">
        <f t="shared" si="0"/>
        <v>-0.19795631773166633</v>
      </c>
      <c r="H37" s="5">
        <f t="shared" si="1"/>
        <v>-1.9795631773166636E-2</v>
      </c>
    </row>
    <row r="38" spans="5:8" ht="12.75" x14ac:dyDescent="0.2">
      <c r="E38">
        <f t="shared" si="2"/>
        <v>244.92081747290734</v>
      </c>
      <c r="F38" s="7">
        <f t="shared" si="3"/>
        <v>596.00626987259682</v>
      </c>
      <c r="G38" s="6">
        <f t="shared" si="0"/>
        <v>-0.15836505418531033</v>
      </c>
      <c r="H38" s="5">
        <f t="shared" si="1"/>
        <v>-1.5836505418531033E-2</v>
      </c>
    </row>
    <row r="39" spans="5:8" ht="12.75" x14ac:dyDescent="0.2">
      <c r="E39">
        <f t="shared" si="2"/>
        <v>244.93665397832586</v>
      </c>
      <c r="F39" s="7">
        <f t="shared" si="3"/>
        <v>596.00401271846192</v>
      </c>
      <c r="G39" s="6">
        <f t="shared" si="0"/>
        <v>-0.126692043348271</v>
      </c>
      <c r="H39" s="5">
        <f t="shared" si="1"/>
        <v>-1.26692043348271E-2</v>
      </c>
    </row>
    <row r="40" spans="5:8" ht="12.75" x14ac:dyDescent="0.2">
      <c r="E40">
        <f t="shared" si="2"/>
        <v>244.94932318266069</v>
      </c>
      <c r="F40" s="7">
        <f t="shared" si="3"/>
        <v>596.00256813981559</v>
      </c>
      <c r="G40" s="6">
        <f t="shared" si="0"/>
        <v>-0.1013536346786168</v>
      </c>
      <c r="H40" s="5">
        <f t="shared" si="1"/>
        <v>-1.0135363467861681E-2</v>
      </c>
    </row>
    <row r="41" spans="5:8" ht="12.75" x14ac:dyDescent="0.2">
      <c r="E41">
        <f t="shared" si="2"/>
        <v>244.95945854612856</v>
      </c>
      <c r="F41" s="7">
        <f t="shared" si="3"/>
        <v>596.0016436094819</v>
      </c>
      <c r="G41" s="6">
        <f t="shared" si="0"/>
        <v>-8.1082907742882071E-2</v>
      </c>
      <c r="H41" s="5">
        <f t="shared" si="1"/>
        <v>-8.1082907742882071E-3</v>
      </c>
    </row>
    <row r="42" spans="5:8" ht="12.75" x14ac:dyDescent="0.2">
      <c r="E42">
        <f t="shared" si="2"/>
        <v>244.96756683690285</v>
      </c>
      <c r="F42" s="7">
        <f t="shared" si="3"/>
        <v>596.00105191006844</v>
      </c>
      <c r="G42" s="6">
        <f t="shared" si="0"/>
        <v>-6.4866326194305657E-2</v>
      </c>
      <c r="H42" s="5">
        <f t="shared" si="1"/>
        <v>-6.4866326194305659E-3</v>
      </c>
    </row>
    <row r="43" spans="5:8" ht="12.75" x14ac:dyDescent="0.2">
      <c r="E43">
        <f t="shared" si="2"/>
        <v>244.97405346952229</v>
      </c>
      <c r="F43" s="7">
        <f t="shared" si="3"/>
        <v>596.00067322244388</v>
      </c>
      <c r="G43" s="6">
        <f t="shared" si="0"/>
        <v>-5.1893060955421788E-2</v>
      </c>
      <c r="H43" s="5">
        <f t="shared" si="1"/>
        <v>-5.1893060955421795E-3</v>
      </c>
    </row>
    <row r="44" spans="5:8" ht="12.75" x14ac:dyDescent="0.2">
      <c r="E44">
        <f t="shared" si="2"/>
        <v>244.97924277561782</v>
      </c>
      <c r="F44" s="7">
        <f t="shared" si="3"/>
        <v>596.00043086236406</v>
      </c>
      <c r="G44" s="6">
        <f t="shared" si="0"/>
        <v>-4.1514448764360168E-2</v>
      </c>
      <c r="H44" s="5">
        <f t="shared" si="1"/>
        <v>-4.1514448764360173E-3</v>
      </c>
    </row>
    <row r="45" spans="5:8" ht="12.75" x14ac:dyDescent="0.2">
      <c r="E45">
        <f t="shared" si="2"/>
        <v>244.98339422049426</v>
      </c>
      <c r="F45" s="7">
        <f t="shared" si="3"/>
        <v>596.00027575191291</v>
      </c>
      <c r="G45" s="6">
        <f t="shared" si="0"/>
        <v>-3.3211559011476766E-2</v>
      </c>
      <c r="H45" s="5">
        <f t="shared" si="1"/>
        <v>-3.3211559011476766E-3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workbookViewId="0">
      <selection activeCell="A10" sqref="A10"/>
    </sheetView>
  </sheetViews>
  <sheetFormatPr defaultColWidth="14.42578125" defaultRowHeight="15.75" customHeight="1" x14ac:dyDescent="0.2"/>
  <cols>
    <col min="1" max="1" width="16.7109375" customWidth="1"/>
    <col min="2" max="2" width="17.5703125" customWidth="1"/>
    <col min="3" max="3" width="4.5703125" customWidth="1"/>
    <col min="4" max="4" width="20.28515625" customWidth="1"/>
    <col min="5" max="5" width="20.5703125" customWidth="1"/>
    <col min="6" max="6" width="19.85546875" customWidth="1"/>
    <col min="7" max="7" width="23" customWidth="1"/>
    <col min="8" max="8" width="21" customWidth="1"/>
    <col min="9" max="9" width="22.85546875" customWidth="1"/>
  </cols>
  <sheetData>
    <row r="1" spans="1:9" ht="15.75" customHeight="1" x14ac:dyDescent="0.2">
      <c r="A1" s="1" t="s">
        <v>0</v>
      </c>
      <c r="B1" s="1" t="s">
        <v>1</v>
      </c>
      <c r="C1" s="2"/>
      <c r="D1" s="9" t="s">
        <v>8</v>
      </c>
      <c r="E1" s="10" t="s">
        <v>2</v>
      </c>
      <c r="F1" s="8" t="s">
        <v>9</v>
      </c>
      <c r="G1" s="8" t="s">
        <v>10</v>
      </c>
      <c r="H1" s="8" t="s">
        <v>11</v>
      </c>
      <c r="I1" s="1" t="s">
        <v>4</v>
      </c>
    </row>
    <row r="2" spans="1:9" ht="15.75" customHeight="1" x14ac:dyDescent="0.2">
      <c r="A2" s="3">
        <v>800</v>
      </c>
      <c r="B2" s="4">
        <v>200</v>
      </c>
      <c r="C2" s="2"/>
      <c r="D2" s="11">
        <v>0</v>
      </c>
      <c r="E2" s="11">
        <v>0</v>
      </c>
      <c r="F2" s="6">
        <f>(2/6) * ((-$A$2*($B$2 - (D2*$A$2 +E2))) + (-$A$3*($B$3 - (D2*$A$3 +E2))) + (-$A$4*($B$4 - (D2*$A$4 +E2))) + (-$A$5*($B$5 - (D2*$A$5 +E2))) + (-$A$6*($B$6 - (D2*$A$6 +E2))) + (-$A$7*($B$7 - (D2*$A$7 +E2))))</f>
        <v>-539210</v>
      </c>
      <c r="G2" s="6">
        <f>(2/6) * ((-1 *($B$2-(D2*$A$2 + E2)))+ (-1 *($B$3-(D2*$A$3 + E2)))+ (-1 *($B$4-(D2*$A$4 + E2)))+ (-1 *($B$5-(D2*$A$5 + E2)))+ (-1 *($B$6-(D2*$A$6 + E2)))+ (-1 *($B$7-(D2*$A$7 + E2))))</f>
        <v>-490</v>
      </c>
      <c r="H2" s="13">
        <f>F2*$B$10</f>
        <v>-5392.1</v>
      </c>
      <c r="I2" s="6">
        <f>G2*$B$10</f>
        <v>-4.9000000000000004</v>
      </c>
    </row>
    <row r="3" spans="1:9" ht="15.75" customHeight="1" x14ac:dyDescent="0.2">
      <c r="A3" s="3">
        <v>950</v>
      </c>
      <c r="B3" s="4">
        <v>230</v>
      </c>
      <c r="D3" s="12">
        <f>D2-H2</f>
        <v>5392.1</v>
      </c>
      <c r="E3" s="12">
        <f>E2-I2</f>
        <v>4.9000000000000004</v>
      </c>
      <c r="F3" s="6"/>
      <c r="G3" s="6"/>
      <c r="H3" s="6"/>
      <c r="I3" s="5"/>
    </row>
    <row r="4" spans="1:9" ht="15.75" customHeight="1" x14ac:dyDescent="0.2">
      <c r="A4" s="3">
        <v>1040</v>
      </c>
      <c r="B4" s="4">
        <v>245</v>
      </c>
      <c r="D4" s="12"/>
      <c r="E4" s="12"/>
      <c r="F4" s="6"/>
      <c r="G4" s="6"/>
      <c r="H4" s="6"/>
      <c r="I4" s="5"/>
    </row>
    <row r="5" spans="1:9" ht="15.75" customHeight="1" x14ac:dyDescent="0.2">
      <c r="A5" s="3">
        <v>1120</v>
      </c>
      <c r="B5" s="4">
        <v>274</v>
      </c>
      <c r="D5" s="12"/>
      <c r="E5" s="12"/>
      <c r="F5" s="6"/>
      <c r="G5" s="6"/>
      <c r="H5" s="6"/>
      <c r="I5" s="5"/>
    </row>
    <row r="6" spans="1:9" ht="15.75" customHeight="1" x14ac:dyDescent="0.2">
      <c r="A6" s="3">
        <v>1250</v>
      </c>
      <c r="B6" s="4">
        <v>259</v>
      </c>
      <c r="D6" s="12"/>
      <c r="E6" s="12"/>
      <c r="F6" s="6"/>
      <c r="G6" s="6"/>
      <c r="H6" s="6"/>
      <c r="I6" s="5"/>
    </row>
    <row r="7" spans="1:9" ht="15.75" customHeight="1" x14ac:dyDescent="0.2">
      <c r="A7" s="3">
        <v>1350</v>
      </c>
      <c r="B7" s="4">
        <v>262</v>
      </c>
      <c r="D7" s="12"/>
      <c r="E7" s="12"/>
      <c r="F7" s="6"/>
      <c r="G7" s="6"/>
      <c r="H7" s="6"/>
      <c r="I7" s="5"/>
    </row>
    <row r="8" spans="1:9" ht="15.75" customHeight="1" x14ac:dyDescent="0.2">
      <c r="D8" s="12"/>
      <c r="E8" s="12"/>
      <c r="F8" s="6"/>
      <c r="G8" s="6"/>
      <c r="H8" s="6"/>
      <c r="I8" s="5"/>
    </row>
    <row r="9" spans="1:9" ht="15.75" customHeight="1" x14ac:dyDescent="0.2">
      <c r="D9" s="12"/>
      <c r="E9" s="12"/>
      <c r="F9" s="6"/>
      <c r="G9" s="6"/>
      <c r="H9" s="6"/>
      <c r="I9" s="5"/>
    </row>
    <row r="10" spans="1:9" ht="15.75" customHeight="1" x14ac:dyDescent="0.2">
      <c r="A10" s="1" t="s">
        <v>6</v>
      </c>
      <c r="B10" s="7">
        <v>0.01</v>
      </c>
      <c r="D10" s="12"/>
      <c r="E10" s="12"/>
      <c r="F10" s="6"/>
      <c r="G10" s="6"/>
      <c r="H10" s="6"/>
      <c r="I10" s="5"/>
    </row>
    <row r="11" spans="1:9" ht="15.75" customHeight="1" x14ac:dyDescent="0.2">
      <c r="D11" s="12"/>
      <c r="E11" s="12"/>
      <c r="F11" s="6"/>
      <c r="G11" s="6"/>
      <c r="H11" s="6"/>
      <c r="I11" s="5"/>
    </row>
    <row r="12" spans="1:9" ht="15.75" customHeight="1" x14ac:dyDescent="0.2">
      <c r="D12" s="12"/>
      <c r="E12" s="12"/>
      <c r="F12" s="6"/>
      <c r="G12" s="6"/>
      <c r="H12" s="6"/>
      <c r="I12" s="5"/>
    </row>
    <row r="13" spans="1:9" ht="15.75" customHeight="1" x14ac:dyDescent="0.2">
      <c r="D13" s="12"/>
      <c r="E13" s="12"/>
      <c r="F13" s="6"/>
      <c r="G13" s="6"/>
      <c r="H13" s="6"/>
      <c r="I13" s="5"/>
    </row>
    <row r="14" spans="1:9" ht="15.75" customHeight="1" x14ac:dyDescent="0.2">
      <c r="D14" s="12"/>
      <c r="E14" s="12"/>
      <c r="F14" s="6"/>
      <c r="G14" s="6"/>
      <c r="H14" s="6"/>
      <c r="I14" s="5"/>
    </row>
    <row r="15" spans="1:9" ht="15.75" customHeight="1" x14ac:dyDescent="0.2">
      <c r="D15" s="12"/>
      <c r="E15" s="12"/>
      <c r="F15" s="6"/>
      <c r="G15" s="6"/>
      <c r="H15" s="6"/>
      <c r="I15" s="5"/>
    </row>
    <row r="16" spans="1:9" ht="15.75" customHeight="1" x14ac:dyDescent="0.2">
      <c r="D16" s="12"/>
      <c r="E16" s="12"/>
      <c r="F16" s="6"/>
      <c r="G16" s="6"/>
      <c r="H16" s="6"/>
      <c r="I16" s="5"/>
    </row>
    <row r="17" spans="4:9" ht="15.75" customHeight="1" x14ac:dyDescent="0.2">
      <c r="D17" s="12"/>
      <c r="E17" s="12"/>
      <c r="F17" s="6"/>
      <c r="G17" s="6"/>
      <c r="H17" s="6"/>
      <c r="I17" s="5"/>
    </row>
    <row r="18" spans="4:9" ht="15.75" customHeight="1" x14ac:dyDescent="0.2">
      <c r="D18" s="12"/>
      <c r="E18" s="12"/>
      <c r="F18" s="6"/>
      <c r="G18" s="6"/>
      <c r="H18" s="6"/>
      <c r="I18" s="5"/>
    </row>
    <row r="19" spans="4:9" ht="15.75" customHeight="1" x14ac:dyDescent="0.2">
      <c r="D19" s="12"/>
      <c r="E19" s="12"/>
      <c r="F19" s="6"/>
      <c r="G19" s="6"/>
      <c r="H19" s="6"/>
      <c r="I19" s="5"/>
    </row>
    <row r="20" spans="4:9" ht="15.75" customHeight="1" x14ac:dyDescent="0.2">
      <c r="D20" s="12"/>
      <c r="E20" s="12"/>
      <c r="F20" s="6"/>
      <c r="G20" s="6"/>
      <c r="H20" s="6"/>
      <c r="I20" s="5"/>
    </row>
    <row r="21" spans="4:9" ht="15.75" customHeight="1" x14ac:dyDescent="0.2">
      <c r="D21" s="12"/>
      <c r="E21" s="12"/>
      <c r="F21" s="6"/>
      <c r="G21" s="6"/>
      <c r="H21" s="6"/>
      <c r="I21" s="5"/>
    </row>
    <row r="22" spans="4:9" ht="15.75" customHeight="1" x14ac:dyDescent="0.2">
      <c r="D22" s="12"/>
      <c r="E22" s="12"/>
      <c r="F22" s="6"/>
      <c r="G22" s="6"/>
      <c r="H22" s="6"/>
      <c r="I22" s="5"/>
    </row>
    <row r="23" spans="4:9" ht="15.75" customHeight="1" x14ac:dyDescent="0.2">
      <c r="D23" s="12"/>
      <c r="E23" s="12"/>
      <c r="F23" s="6"/>
      <c r="G23" s="6"/>
      <c r="H23" s="6"/>
      <c r="I23" s="5"/>
    </row>
    <row r="24" spans="4:9" ht="15.75" customHeight="1" x14ac:dyDescent="0.2">
      <c r="D24" s="12"/>
      <c r="E24" s="12"/>
      <c r="F24" s="6"/>
      <c r="G24" s="6"/>
      <c r="H24" s="6"/>
      <c r="I24" s="5"/>
    </row>
    <row r="25" spans="4:9" ht="15.75" customHeight="1" x14ac:dyDescent="0.2">
      <c r="D25" s="12"/>
      <c r="E25" s="12"/>
      <c r="F25" s="6"/>
      <c r="G25" s="6"/>
      <c r="H25" s="6"/>
      <c r="I25" s="5"/>
    </row>
    <row r="26" spans="4:9" ht="15.75" customHeight="1" x14ac:dyDescent="0.2">
      <c r="D26" s="12"/>
      <c r="E26" s="12"/>
      <c r="F26" s="6"/>
      <c r="G26" s="6"/>
      <c r="H26" s="6"/>
      <c r="I26" s="5"/>
    </row>
    <row r="27" spans="4:9" ht="15.75" customHeight="1" x14ac:dyDescent="0.2">
      <c r="D27" s="12"/>
      <c r="E27" s="12"/>
      <c r="F27" s="6"/>
      <c r="G27" s="6"/>
      <c r="H27" s="6"/>
      <c r="I27" s="5"/>
    </row>
    <row r="28" spans="4:9" ht="15.75" customHeight="1" x14ac:dyDescent="0.2">
      <c r="D28" s="12"/>
      <c r="E28" s="12"/>
      <c r="F28" s="6"/>
      <c r="G28" s="6"/>
      <c r="H28" s="6"/>
      <c r="I28" s="5"/>
    </row>
    <row r="29" spans="4:9" ht="15.75" customHeight="1" x14ac:dyDescent="0.2">
      <c r="D29" s="12"/>
      <c r="E29" s="12"/>
      <c r="F29" s="6"/>
      <c r="G29" s="6"/>
      <c r="H29" s="6"/>
      <c r="I29" s="5"/>
    </row>
    <row r="30" spans="4:9" ht="15.75" customHeight="1" x14ac:dyDescent="0.2">
      <c r="D30" s="12"/>
      <c r="E30" s="12"/>
      <c r="F30" s="6"/>
      <c r="G30" s="6"/>
      <c r="H30" s="6"/>
      <c r="I30" s="5"/>
    </row>
    <row r="31" spans="4:9" ht="15.75" customHeight="1" x14ac:dyDescent="0.2">
      <c r="D31" s="12"/>
      <c r="E31" s="12"/>
      <c r="F31" s="6"/>
      <c r="G31" s="6"/>
      <c r="H31" s="6"/>
      <c r="I31" s="5"/>
    </row>
    <row r="32" spans="4:9" ht="15.75" customHeight="1" x14ac:dyDescent="0.2">
      <c r="D32" s="12"/>
      <c r="E32" s="12"/>
      <c r="F32" s="6"/>
      <c r="G32" s="6"/>
      <c r="H32" s="6"/>
      <c r="I32" s="5"/>
    </row>
    <row r="33" spans="4:9" ht="15.75" customHeight="1" x14ac:dyDescent="0.2">
      <c r="D33" s="12"/>
      <c r="E33" s="12"/>
      <c r="F33" s="6"/>
      <c r="G33" s="6"/>
      <c r="H33" s="6"/>
      <c r="I33" s="5"/>
    </row>
    <row r="34" spans="4:9" ht="15.75" customHeight="1" x14ac:dyDescent="0.2">
      <c r="D34" s="12"/>
      <c r="E34" s="12"/>
      <c r="F34" s="6"/>
      <c r="G34" s="6"/>
      <c r="H34" s="6"/>
      <c r="I34" s="5"/>
    </row>
    <row r="35" spans="4:9" ht="15.75" customHeight="1" x14ac:dyDescent="0.2">
      <c r="D35" s="12"/>
      <c r="E35" s="12"/>
      <c r="F35" s="6"/>
      <c r="G35" s="6"/>
      <c r="H35" s="6"/>
      <c r="I35" s="5"/>
    </row>
    <row r="36" spans="4:9" ht="15.75" customHeight="1" x14ac:dyDescent="0.2">
      <c r="D36" s="12"/>
      <c r="E36" s="12"/>
      <c r="F36" s="6"/>
      <c r="G36" s="6"/>
      <c r="H36" s="6"/>
      <c r="I36" s="5"/>
    </row>
    <row r="37" spans="4:9" ht="15.75" customHeight="1" x14ac:dyDescent="0.2">
      <c r="D37" s="12"/>
      <c r="E37" s="12"/>
      <c r="F37" s="6"/>
      <c r="G37" s="6"/>
      <c r="H37" s="6"/>
      <c r="I37" s="5"/>
    </row>
    <row r="38" spans="4:9" ht="12.75" x14ac:dyDescent="0.2">
      <c r="D38" s="12"/>
      <c r="E38" s="12"/>
      <c r="F38" s="6"/>
      <c r="G38" s="6"/>
      <c r="H38" s="6"/>
      <c r="I38" s="5"/>
    </row>
    <row r="39" spans="4:9" ht="12.75" x14ac:dyDescent="0.2">
      <c r="D39" s="12"/>
      <c r="E39" s="12"/>
      <c r="F39" s="6"/>
      <c r="G39" s="6"/>
      <c r="H39" s="6"/>
      <c r="I39" s="5"/>
    </row>
    <row r="40" spans="4:9" ht="12.75" x14ac:dyDescent="0.2">
      <c r="D40" s="12"/>
      <c r="E40" s="12"/>
      <c r="F40" s="6"/>
      <c r="G40" s="6"/>
      <c r="H40" s="6"/>
      <c r="I40" s="5"/>
    </row>
    <row r="41" spans="4:9" ht="12.75" x14ac:dyDescent="0.2">
      <c r="D41" s="12"/>
      <c r="E41" s="12"/>
      <c r="F41" s="6"/>
      <c r="G41" s="6"/>
      <c r="H41" s="6"/>
      <c r="I41" s="5"/>
    </row>
    <row r="42" spans="4:9" ht="12.75" x14ac:dyDescent="0.2">
      <c r="D42" s="12"/>
      <c r="E42" s="12"/>
      <c r="F42" s="6"/>
      <c r="G42" s="6"/>
      <c r="H42" s="6"/>
      <c r="I42" s="5"/>
    </row>
    <row r="43" spans="4:9" ht="12.75" x14ac:dyDescent="0.2">
      <c r="D43" s="12"/>
      <c r="E43" s="12"/>
      <c r="F43" s="6"/>
      <c r="G43" s="6"/>
      <c r="H43" s="6"/>
      <c r="I43" s="5"/>
    </row>
    <row r="44" spans="4:9" ht="12.75" x14ac:dyDescent="0.2">
      <c r="D44" s="12"/>
      <c r="E44" s="12"/>
      <c r="F44" s="6"/>
      <c r="G44" s="6"/>
      <c r="H44" s="6"/>
      <c r="I44" s="5"/>
    </row>
    <row r="45" spans="4:9" ht="12.75" x14ac:dyDescent="0.2">
      <c r="D45" s="12"/>
      <c r="E45" s="12"/>
      <c r="F45" s="6"/>
      <c r="G45" s="6"/>
      <c r="H45" s="6"/>
      <c r="I45" s="5"/>
    </row>
    <row r="46" spans="4:9" ht="12.75" x14ac:dyDescent="0.2">
      <c r="D46" s="12"/>
      <c r="E46" s="12"/>
      <c r="F46" s="6"/>
      <c r="G46" s="6"/>
      <c r="H46" s="6"/>
      <c r="I46" s="5"/>
    </row>
    <row r="47" spans="4:9" ht="12.75" x14ac:dyDescent="0.2">
      <c r="D47" s="12"/>
      <c r="E47" s="12"/>
      <c r="F47" s="6"/>
      <c r="G47" s="6"/>
      <c r="H47" s="6"/>
      <c r="I47" s="5"/>
    </row>
    <row r="48" spans="4:9" ht="12.75" x14ac:dyDescent="0.2">
      <c r="D48" s="12"/>
      <c r="E48" s="12"/>
      <c r="F48" s="6"/>
      <c r="G48" s="6"/>
      <c r="H48" s="6"/>
      <c r="I48" s="5"/>
    </row>
    <row r="49" spans="4:9" ht="12.75" x14ac:dyDescent="0.2">
      <c r="D49" s="12"/>
      <c r="E49" s="12"/>
      <c r="F49" s="6"/>
      <c r="G49" s="6"/>
      <c r="H49" s="6"/>
      <c r="I49" s="5"/>
    </row>
    <row r="50" spans="4:9" ht="12.75" x14ac:dyDescent="0.2">
      <c r="D50" s="12"/>
      <c r="E50" s="12"/>
      <c r="F50" s="6"/>
      <c r="G50" s="6"/>
      <c r="H50" s="6"/>
      <c r="I50" s="5"/>
    </row>
    <row r="51" spans="4:9" ht="12.75" x14ac:dyDescent="0.2">
      <c r="D51" s="12"/>
      <c r="E51" s="12"/>
      <c r="F51" s="6"/>
      <c r="G51" s="6"/>
      <c r="H51" s="6"/>
      <c r="I51" s="5"/>
    </row>
    <row r="52" spans="4:9" ht="12.75" x14ac:dyDescent="0.2">
      <c r="D52" s="12"/>
      <c r="E52" s="12"/>
      <c r="F52" s="6"/>
      <c r="G52" s="6"/>
      <c r="H52" s="6"/>
      <c r="I52" s="5"/>
    </row>
    <row r="53" spans="4:9" ht="12.75" x14ac:dyDescent="0.2">
      <c r="D53" s="12"/>
      <c r="E53" s="12"/>
      <c r="F53" s="6"/>
      <c r="G53" s="6"/>
      <c r="H53" s="6"/>
      <c r="I53" s="5"/>
    </row>
    <row r="54" spans="4:9" ht="12.75" x14ac:dyDescent="0.2">
      <c r="D54" s="12"/>
      <c r="E54" s="12"/>
      <c r="F54" s="6"/>
      <c r="G54" s="6"/>
      <c r="H54" s="6"/>
      <c r="I54" s="5"/>
    </row>
    <row r="55" spans="4:9" ht="12.75" x14ac:dyDescent="0.2">
      <c r="D55" s="12"/>
      <c r="E55" s="12"/>
      <c r="F55" s="6"/>
      <c r="G55" s="6"/>
      <c r="H55" s="6"/>
      <c r="I55" s="5"/>
    </row>
    <row r="56" spans="4:9" ht="12.75" x14ac:dyDescent="0.2">
      <c r="D56" s="12"/>
      <c r="E56" s="12"/>
      <c r="F56" s="6"/>
      <c r="G56" s="6"/>
      <c r="H56" s="6"/>
      <c r="I56" s="5"/>
    </row>
    <row r="57" spans="4:9" ht="12.75" x14ac:dyDescent="0.2">
      <c r="D57" s="12"/>
      <c r="E57" s="12"/>
      <c r="F57" s="6"/>
      <c r="G57" s="6"/>
      <c r="H57" s="6"/>
      <c r="I57" s="5"/>
    </row>
    <row r="58" spans="4:9" ht="12.75" x14ac:dyDescent="0.2">
      <c r="D58" s="12"/>
      <c r="E58" s="12"/>
      <c r="F58" s="6"/>
      <c r="G58" s="6"/>
      <c r="H58" s="6"/>
      <c r="I58" s="5"/>
    </row>
    <row r="59" spans="4:9" ht="12.75" x14ac:dyDescent="0.2">
      <c r="D59" s="12"/>
      <c r="E59" s="12"/>
      <c r="F59" s="6"/>
      <c r="G59" s="6"/>
      <c r="H59" s="6"/>
      <c r="I59" s="5"/>
    </row>
    <row r="60" spans="4:9" ht="12.75" x14ac:dyDescent="0.2">
      <c r="D60" s="12"/>
      <c r="E60" s="12"/>
      <c r="F60" s="6"/>
      <c r="G60" s="6"/>
      <c r="H60" s="6"/>
      <c r="I60" s="5"/>
    </row>
    <row r="61" spans="4:9" ht="12.75" x14ac:dyDescent="0.2">
      <c r="D61" s="12"/>
      <c r="E61" s="12"/>
      <c r="F61" s="6"/>
      <c r="G61" s="6"/>
      <c r="H61" s="6"/>
      <c r="I61" s="5"/>
    </row>
    <row r="62" spans="4:9" ht="12.75" x14ac:dyDescent="0.2">
      <c r="D62" s="12"/>
      <c r="E62" s="12"/>
      <c r="F62" s="6"/>
      <c r="G62" s="6"/>
      <c r="H62" s="6"/>
      <c r="I62" s="5"/>
    </row>
    <row r="63" spans="4:9" ht="12.75" x14ac:dyDescent="0.2">
      <c r="D63" s="12"/>
      <c r="E63" s="12"/>
      <c r="F63" s="6"/>
      <c r="G63" s="6"/>
      <c r="H63" s="6"/>
      <c r="I63" s="5"/>
    </row>
    <row r="64" spans="4:9" ht="12.75" x14ac:dyDescent="0.2">
      <c r="D64" s="12"/>
      <c r="E64" s="12"/>
      <c r="F64" s="6"/>
      <c r="G64" s="6"/>
      <c r="H64" s="6"/>
      <c r="I64" s="5"/>
    </row>
    <row r="65" spans="4:9" ht="12.75" x14ac:dyDescent="0.2">
      <c r="D65" s="12"/>
      <c r="E65" s="12"/>
      <c r="F65" s="6"/>
      <c r="G65" s="6"/>
      <c r="H65" s="6"/>
      <c r="I65" s="5"/>
    </row>
    <row r="66" spans="4:9" ht="12.75" x14ac:dyDescent="0.2">
      <c r="D66" s="12"/>
      <c r="E66" s="12"/>
      <c r="F66" s="6"/>
      <c r="G66" s="6"/>
      <c r="H66" s="6"/>
      <c r="I66" s="5"/>
    </row>
    <row r="67" spans="4:9" ht="12.75" x14ac:dyDescent="0.2">
      <c r="D67" s="12"/>
      <c r="E67" s="12"/>
      <c r="F67" s="6"/>
      <c r="G67" s="6"/>
      <c r="H67" s="6"/>
      <c r="I67" s="5"/>
    </row>
    <row r="68" spans="4:9" ht="12.75" x14ac:dyDescent="0.2">
      <c r="D68" s="12"/>
      <c r="E68" s="12"/>
      <c r="F68" s="6"/>
      <c r="G68" s="6"/>
      <c r="H68" s="6"/>
      <c r="I68" s="5"/>
    </row>
    <row r="69" spans="4:9" ht="12.75" x14ac:dyDescent="0.2">
      <c r="D69" s="12"/>
      <c r="E69" s="12"/>
      <c r="F69" s="6"/>
      <c r="G69" s="6"/>
      <c r="H69" s="6"/>
      <c r="I69" s="5"/>
    </row>
    <row r="70" spans="4:9" ht="12.75" x14ac:dyDescent="0.2">
      <c r="D70" s="12"/>
      <c r="E70" s="12"/>
      <c r="F70" s="6"/>
      <c r="G70" s="6"/>
      <c r="H70" s="6"/>
      <c r="I70" s="5"/>
    </row>
    <row r="71" spans="4:9" ht="12.75" x14ac:dyDescent="0.2">
      <c r="D71" s="12"/>
      <c r="E71" s="12"/>
      <c r="F71" s="6"/>
      <c r="G71" s="6"/>
      <c r="H71" s="6"/>
      <c r="I71" s="5"/>
    </row>
    <row r="72" spans="4:9" ht="12.75" x14ac:dyDescent="0.2">
      <c r="D72" s="12"/>
      <c r="E72" s="12"/>
      <c r="F72" s="6"/>
      <c r="G72" s="6"/>
      <c r="H72" s="6"/>
      <c r="I72" s="5"/>
    </row>
    <row r="73" spans="4:9" ht="12.75" x14ac:dyDescent="0.2">
      <c r="D73" s="12"/>
      <c r="E73" s="12"/>
      <c r="F73" s="6"/>
      <c r="G73" s="6"/>
      <c r="H73" s="6"/>
      <c r="I73" s="5"/>
    </row>
    <row r="74" spans="4:9" ht="12.75" x14ac:dyDescent="0.2">
      <c r="D74" s="12"/>
      <c r="E74" s="12"/>
      <c r="F74" s="6"/>
      <c r="G74" s="6"/>
      <c r="H74" s="6"/>
      <c r="I74" s="5"/>
    </row>
    <row r="75" spans="4:9" ht="12.75" x14ac:dyDescent="0.2">
      <c r="D75" s="12"/>
      <c r="E75" s="12"/>
      <c r="F75" s="6"/>
      <c r="G75" s="6"/>
      <c r="H75" s="6"/>
      <c r="I75" s="5"/>
    </row>
    <row r="76" spans="4:9" ht="12.75" x14ac:dyDescent="0.2">
      <c r="D76" s="12"/>
      <c r="E76" s="12"/>
      <c r="F76" s="6"/>
      <c r="G76" s="6"/>
      <c r="H76" s="6"/>
      <c r="I76" s="5"/>
    </row>
    <row r="77" spans="4:9" ht="12.75" x14ac:dyDescent="0.2">
      <c r="D77" s="12"/>
      <c r="E77" s="12"/>
      <c r="F77" s="6"/>
      <c r="G77" s="6"/>
      <c r="H77" s="6"/>
      <c r="I77" s="5"/>
    </row>
    <row r="78" spans="4:9" ht="12.75" x14ac:dyDescent="0.2">
      <c r="D78" s="12"/>
      <c r="E78" s="12"/>
      <c r="F78" s="6"/>
      <c r="G78" s="6"/>
      <c r="H78" s="6"/>
      <c r="I78" s="5"/>
    </row>
    <row r="79" spans="4:9" ht="12.75" x14ac:dyDescent="0.2">
      <c r="D79" s="12"/>
      <c r="E79" s="12"/>
      <c r="F79" s="6"/>
      <c r="G79" s="6"/>
      <c r="H79" s="6"/>
      <c r="I79" s="5"/>
    </row>
    <row r="80" spans="4:9" ht="12.75" x14ac:dyDescent="0.2">
      <c r="D80" s="12"/>
      <c r="E80" s="12"/>
      <c r="F80" s="6"/>
      <c r="G80" s="6"/>
      <c r="H80" s="6"/>
      <c r="I80" s="5"/>
    </row>
    <row r="81" spans="4:9" ht="12.75" x14ac:dyDescent="0.2">
      <c r="D81" s="12"/>
      <c r="E81" s="12"/>
      <c r="F81" s="6"/>
      <c r="G81" s="6"/>
      <c r="H81" s="6"/>
      <c r="I81" s="5"/>
    </row>
    <row r="82" spans="4:9" ht="12.75" x14ac:dyDescent="0.2">
      <c r="D82" s="12"/>
      <c r="E82" s="12"/>
      <c r="F82" s="6"/>
      <c r="G82" s="6"/>
      <c r="H82" s="6"/>
      <c r="I82" s="5"/>
    </row>
    <row r="83" spans="4:9" ht="12.75" x14ac:dyDescent="0.2">
      <c r="D83" s="12"/>
      <c r="E83" s="12"/>
      <c r="F83" s="6"/>
      <c r="G83" s="6"/>
      <c r="H83" s="6"/>
      <c r="I83" s="5"/>
    </row>
    <row r="84" spans="4:9" ht="12.75" x14ac:dyDescent="0.2">
      <c r="D84" s="12"/>
      <c r="E84" s="12"/>
      <c r="F84" s="6"/>
      <c r="G84" s="6"/>
      <c r="H84" s="6"/>
      <c r="I84" s="5"/>
    </row>
    <row r="85" spans="4:9" ht="12.75" x14ac:dyDescent="0.2">
      <c r="D85" s="12"/>
      <c r="E85" s="12"/>
      <c r="F85" s="6"/>
      <c r="G85" s="6"/>
      <c r="H85" s="6"/>
      <c r="I85" s="5"/>
    </row>
    <row r="86" spans="4:9" ht="12.75" x14ac:dyDescent="0.2">
      <c r="D86" s="12"/>
      <c r="E86" s="12"/>
      <c r="F86" s="6"/>
      <c r="G86" s="6"/>
      <c r="H86" s="6"/>
      <c r="I86" s="5"/>
    </row>
    <row r="87" spans="4:9" ht="12.75" x14ac:dyDescent="0.2">
      <c r="D87" s="12"/>
      <c r="E87" s="12"/>
      <c r="F87" s="6"/>
      <c r="G87" s="6"/>
      <c r="H87" s="6"/>
      <c r="I87" s="5"/>
    </row>
    <row r="88" spans="4:9" ht="12.75" x14ac:dyDescent="0.2">
      <c r="D88" s="12"/>
      <c r="E88" s="12"/>
      <c r="F88" s="6"/>
      <c r="G88" s="6"/>
      <c r="H88" s="6"/>
      <c r="I88" s="5"/>
    </row>
    <row r="89" spans="4:9" ht="12.75" x14ac:dyDescent="0.2">
      <c r="D89" s="12"/>
      <c r="E89" s="12"/>
      <c r="F89" s="6"/>
      <c r="G89" s="6"/>
      <c r="H89" s="6"/>
      <c r="I89" s="5"/>
    </row>
    <row r="90" spans="4:9" ht="12.75" x14ac:dyDescent="0.2">
      <c r="D90" s="12"/>
      <c r="E90" s="12"/>
      <c r="F90" s="6"/>
      <c r="G90" s="6"/>
      <c r="H90" s="6"/>
      <c r="I90" s="5"/>
    </row>
    <row r="91" spans="4:9" ht="12.75" x14ac:dyDescent="0.2">
      <c r="D91" s="12"/>
      <c r="E91" s="12"/>
      <c r="F91" s="6"/>
      <c r="G91" s="6"/>
      <c r="H91" s="6"/>
      <c r="I91" s="5"/>
    </row>
    <row r="92" spans="4:9" ht="12.75" x14ac:dyDescent="0.2">
      <c r="D92" s="12"/>
      <c r="E92" s="12"/>
      <c r="F92" s="6"/>
      <c r="G92" s="6"/>
      <c r="H92" s="6"/>
      <c r="I92" s="5"/>
    </row>
    <row r="93" spans="4:9" ht="12.75" x14ac:dyDescent="0.2">
      <c r="D93" s="12"/>
      <c r="E93" s="12"/>
      <c r="F93" s="6"/>
      <c r="G93" s="6"/>
      <c r="H93" s="6"/>
      <c r="I93" s="5"/>
    </row>
    <row r="94" spans="4:9" ht="12.75" x14ac:dyDescent="0.2">
      <c r="D94" s="12"/>
      <c r="E94" s="12"/>
      <c r="F94" s="6"/>
      <c r="G94" s="6"/>
      <c r="H94" s="6"/>
      <c r="I94" s="5"/>
    </row>
    <row r="95" spans="4:9" ht="12.75" x14ac:dyDescent="0.2">
      <c r="D95" s="12"/>
      <c r="E95" s="12"/>
      <c r="F95" s="6"/>
      <c r="G95" s="6"/>
      <c r="H95" s="6"/>
      <c r="I95" s="5"/>
    </row>
    <row r="96" spans="4:9" ht="12.75" x14ac:dyDescent="0.2">
      <c r="D96" s="12"/>
      <c r="E96" s="12"/>
      <c r="F96" s="6"/>
      <c r="G96" s="6"/>
      <c r="H96" s="6"/>
      <c r="I96" s="5"/>
    </row>
    <row r="97" spans="4:9" ht="12.75" x14ac:dyDescent="0.2">
      <c r="D97" s="12"/>
      <c r="E97" s="12"/>
      <c r="F97" s="6"/>
      <c r="G97" s="6"/>
      <c r="H97" s="6"/>
      <c r="I97" s="5"/>
    </row>
    <row r="98" spans="4:9" ht="12.75" x14ac:dyDescent="0.2">
      <c r="D98" s="12"/>
      <c r="E98" s="12"/>
      <c r="F98" s="6"/>
      <c r="G98" s="6"/>
      <c r="H98" s="6"/>
      <c r="I98" s="5"/>
    </row>
    <row r="99" spans="4:9" ht="12.75" x14ac:dyDescent="0.2">
      <c r="D99" s="12"/>
      <c r="E99" s="12"/>
      <c r="F99" s="6"/>
      <c r="G99" s="6"/>
      <c r="H99" s="6"/>
      <c r="I99" s="5"/>
    </row>
    <row r="100" spans="4:9" ht="12.75" x14ac:dyDescent="0.2">
      <c r="D100" s="12"/>
      <c r="E100" s="12"/>
      <c r="F100" s="6"/>
      <c r="G100" s="6"/>
      <c r="H100" s="6"/>
      <c r="I100" s="5"/>
    </row>
    <row r="101" spans="4:9" ht="12.75" x14ac:dyDescent="0.2">
      <c r="D101" s="12"/>
      <c r="E101" s="12"/>
      <c r="F101" s="6"/>
      <c r="G101" s="6"/>
      <c r="H101" s="6"/>
      <c r="I101" s="5"/>
    </row>
    <row r="102" spans="4:9" ht="12.75" x14ac:dyDescent="0.2">
      <c r="D102" s="12"/>
      <c r="E102" s="12"/>
      <c r="F102" s="6"/>
      <c r="G102" s="6"/>
      <c r="H102" s="6"/>
      <c r="I102" s="5"/>
    </row>
    <row r="103" spans="4:9" ht="12.75" x14ac:dyDescent="0.2">
      <c r="D103" s="12"/>
      <c r="E103" s="12"/>
      <c r="F103" s="6"/>
      <c r="G103" s="6"/>
      <c r="H103" s="6"/>
      <c r="I103" s="5"/>
    </row>
    <row r="104" spans="4:9" ht="12.75" x14ac:dyDescent="0.2">
      <c r="D104" s="12"/>
      <c r="E104" s="12"/>
      <c r="F104" s="6"/>
      <c r="G104" s="6"/>
      <c r="H104" s="6"/>
      <c r="I104" s="5"/>
    </row>
    <row r="105" spans="4:9" ht="12.75" x14ac:dyDescent="0.2">
      <c r="D105" s="12"/>
      <c r="E105" s="12"/>
      <c r="F105" s="6"/>
      <c r="G105" s="6"/>
      <c r="H105" s="6"/>
      <c r="I105" s="5"/>
    </row>
    <row r="106" spans="4:9" ht="12.75" x14ac:dyDescent="0.2">
      <c r="D106" s="12"/>
      <c r="E106" s="12"/>
      <c r="F106" s="6"/>
      <c r="G106" s="6"/>
      <c r="H106" s="6"/>
      <c r="I106" s="5"/>
    </row>
    <row r="107" spans="4:9" ht="12.75" x14ac:dyDescent="0.2">
      <c r="D107" s="12"/>
      <c r="E107" s="12"/>
      <c r="F107" s="6"/>
      <c r="G107" s="6"/>
      <c r="H107" s="6"/>
      <c r="I107" s="5"/>
    </row>
    <row r="108" spans="4:9" ht="12.75" x14ac:dyDescent="0.2">
      <c r="D108" s="12"/>
      <c r="E108" s="12"/>
      <c r="F108" s="6"/>
      <c r="G108" s="6"/>
      <c r="H108" s="6"/>
      <c r="I108" s="5"/>
    </row>
    <row r="109" spans="4:9" ht="12.75" x14ac:dyDescent="0.2">
      <c r="D109" s="12"/>
      <c r="E109" s="12"/>
      <c r="F109" s="6"/>
      <c r="G109" s="6"/>
      <c r="H109" s="6"/>
      <c r="I109" s="5"/>
    </row>
    <row r="110" spans="4:9" ht="12.75" x14ac:dyDescent="0.2">
      <c r="D110" s="12"/>
      <c r="E110" s="12"/>
      <c r="F110" s="6"/>
      <c r="G110" s="6"/>
      <c r="H110" s="6"/>
      <c r="I110" s="5"/>
    </row>
    <row r="111" spans="4:9" ht="12.75" x14ac:dyDescent="0.2">
      <c r="D111" s="12"/>
      <c r="E111" s="12"/>
      <c r="F111" s="6"/>
      <c r="G111" s="6"/>
      <c r="H111" s="6"/>
      <c r="I111" s="5"/>
    </row>
    <row r="112" spans="4:9" ht="12.75" x14ac:dyDescent="0.2">
      <c r="D112" s="12"/>
      <c r="E112" s="12"/>
      <c r="F112" s="6"/>
      <c r="G112" s="6"/>
      <c r="H112" s="6"/>
      <c r="I112" s="5"/>
    </row>
    <row r="113" spans="4:9" ht="12.75" x14ac:dyDescent="0.2">
      <c r="D113" s="12"/>
      <c r="E113" s="12"/>
      <c r="F113" s="6"/>
      <c r="G113" s="6"/>
      <c r="H113" s="6"/>
      <c r="I113" s="5"/>
    </row>
    <row r="114" spans="4:9" ht="12.75" x14ac:dyDescent="0.2">
      <c r="D114" s="12"/>
      <c r="E114" s="12"/>
      <c r="F114" s="6"/>
      <c r="G114" s="6"/>
      <c r="H114" s="6"/>
      <c r="I114" s="5"/>
    </row>
    <row r="115" spans="4:9" ht="12.75" x14ac:dyDescent="0.2">
      <c r="D115" s="12"/>
      <c r="E115" s="12"/>
      <c r="F115" s="6"/>
      <c r="G115" s="6"/>
      <c r="H115" s="6"/>
      <c r="I115" s="5"/>
    </row>
    <row r="116" spans="4:9" ht="12.75" x14ac:dyDescent="0.2">
      <c r="D116" s="12"/>
      <c r="E116" s="12"/>
      <c r="F116" s="6"/>
      <c r="G116" s="6"/>
      <c r="H116" s="6"/>
      <c r="I116" s="5"/>
    </row>
    <row r="117" spans="4:9" ht="12.75" x14ac:dyDescent="0.2">
      <c r="D117" s="12"/>
      <c r="E117" s="12"/>
      <c r="F117" s="6"/>
      <c r="G117" s="6"/>
      <c r="H117" s="6"/>
      <c r="I117" s="5"/>
    </row>
    <row r="118" spans="4:9" ht="12.75" x14ac:dyDescent="0.2">
      <c r="D118" s="12"/>
      <c r="E118" s="12"/>
      <c r="F118" s="6"/>
      <c r="G118" s="6"/>
      <c r="H118" s="6"/>
      <c r="I118" s="5"/>
    </row>
    <row r="119" spans="4:9" ht="12.75" x14ac:dyDescent="0.2">
      <c r="D119" s="12"/>
      <c r="E119" s="12"/>
      <c r="F119" s="6"/>
      <c r="G119" s="6"/>
      <c r="H119" s="6"/>
      <c r="I119" s="5"/>
    </row>
    <row r="120" spans="4:9" ht="12.75" x14ac:dyDescent="0.2">
      <c r="D120" s="12"/>
      <c r="E120" s="12"/>
      <c r="F120" s="6"/>
      <c r="G120" s="6"/>
      <c r="H120" s="6"/>
      <c r="I120" s="5"/>
    </row>
    <row r="121" spans="4:9" ht="12.75" x14ac:dyDescent="0.2">
      <c r="D121" s="12"/>
      <c r="E121" s="12"/>
      <c r="F121" s="6"/>
      <c r="G121" s="6"/>
      <c r="H121" s="6"/>
      <c r="I121" s="5"/>
    </row>
    <row r="122" spans="4:9" ht="12.75" x14ac:dyDescent="0.2">
      <c r="D122" s="12"/>
      <c r="E122" s="12"/>
      <c r="F122" s="6"/>
      <c r="G122" s="6"/>
      <c r="H122" s="6"/>
      <c r="I122" s="5"/>
    </row>
    <row r="123" spans="4:9" ht="12.75" x14ac:dyDescent="0.2">
      <c r="D123" s="12"/>
      <c r="E123" s="12"/>
      <c r="F123" s="6"/>
      <c r="G123" s="6"/>
      <c r="H123" s="6"/>
      <c r="I123" s="5"/>
    </row>
    <row r="124" spans="4:9" ht="12.75" x14ac:dyDescent="0.2">
      <c r="D124" s="12"/>
      <c r="E124" s="12"/>
      <c r="F124" s="6"/>
      <c r="G124" s="6"/>
      <c r="H124" s="6"/>
      <c r="I124" s="5"/>
    </row>
    <row r="125" spans="4:9" ht="12.75" x14ac:dyDescent="0.2">
      <c r="D125" s="12"/>
      <c r="E125" s="12"/>
      <c r="F125" s="6"/>
      <c r="G125" s="6"/>
      <c r="H125" s="6"/>
      <c r="I125" s="5"/>
    </row>
    <row r="126" spans="4:9" ht="12.75" x14ac:dyDescent="0.2">
      <c r="D126" s="12"/>
      <c r="E126" s="12"/>
      <c r="F126" s="6"/>
      <c r="G126" s="6"/>
      <c r="H126" s="6"/>
      <c r="I126" s="5"/>
    </row>
    <row r="127" spans="4:9" ht="12.75" x14ac:dyDescent="0.2">
      <c r="D127" s="12"/>
      <c r="E127" s="12"/>
      <c r="F127" s="6"/>
      <c r="G127" s="6"/>
      <c r="H127" s="6"/>
      <c r="I127" s="5"/>
    </row>
    <row r="128" spans="4:9" ht="12.75" x14ac:dyDescent="0.2">
      <c r="D128" s="12"/>
      <c r="E128" s="12"/>
      <c r="F128" s="6"/>
      <c r="G128" s="6"/>
      <c r="H128" s="6"/>
      <c r="I128" s="5"/>
    </row>
    <row r="129" spans="4:9" ht="12.75" x14ac:dyDescent="0.2">
      <c r="D129" s="12"/>
      <c r="E129" s="12"/>
      <c r="F129" s="6"/>
      <c r="G129" s="6"/>
      <c r="H129" s="6"/>
      <c r="I129" s="5"/>
    </row>
    <row r="130" spans="4:9" ht="12.75" x14ac:dyDescent="0.2">
      <c r="D130" s="12"/>
      <c r="E130" s="12"/>
      <c r="F130" s="6"/>
      <c r="G130" s="6"/>
      <c r="H130" s="6"/>
      <c r="I130" s="5"/>
    </row>
    <row r="131" spans="4:9" ht="12.75" x14ac:dyDescent="0.2">
      <c r="D131" s="12"/>
      <c r="E131" s="12"/>
      <c r="F131" s="6"/>
      <c r="G131" s="6"/>
      <c r="H131" s="6"/>
      <c r="I131" s="5"/>
    </row>
    <row r="132" spans="4:9" ht="12.75" x14ac:dyDescent="0.2">
      <c r="D132" s="12"/>
      <c r="E132" s="12"/>
      <c r="F132" s="6"/>
      <c r="G132" s="6"/>
      <c r="H132" s="6"/>
      <c r="I132" s="5"/>
    </row>
    <row r="133" spans="4:9" ht="12.75" x14ac:dyDescent="0.2">
      <c r="D133" s="12"/>
      <c r="E133" s="12"/>
      <c r="F133" s="6"/>
      <c r="G133" s="6"/>
      <c r="H133" s="6"/>
      <c r="I133" s="5"/>
    </row>
    <row r="134" spans="4:9" ht="12.75" x14ac:dyDescent="0.2">
      <c r="D134" s="12"/>
      <c r="E134" s="12"/>
      <c r="F134" s="6"/>
      <c r="G134" s="6"/>
      <c r="H134" s="6"/>
      <c r="I134" s="5"/>
    </row>
    <row r="135" spans="4:9" ht="12.75" x14ac:dyDescent="0.2">
      <c r="D135" s="12"/>
      <c r="E135" s="12"/>
      <c r="F135" s="6"/>
      <c r="G135" s="6"/>
      <c r="H135" s="6"/>
      <c r="I135" s="5"/>
    </row>
    <row r="136" spans="4:9" ht="12.75" x14ac:dyDescent="0.2">
      <c r="D136" s="12"/>
      <c r="E136" s="12"/>
      <c r="F136" s="6"/>
      <c r="G136" s="6"/>
      <c r="H136" s="6"/>
      <c r="I136" s="5"/>
    </row>
    <row r="137" spans="4:9" ht="12.75" x14ac:dyDescent="0.2">
      <c r="D137" s="12"/>
      <c r="E137" s="12"/>
      <c r="F137" s="6"/>
      <c r="G137" s="6"/>
      <c r="H137" s="6"/>
      <c r="I137" s="5"/>
    </row>
    <row r="138" spans="4:9" ht="12.75" x14ac:dyDescent="0.2">
      <c r="D138" s="12"/>
      <c r="E138" s="12"/>
      <c r="F138" s="6"/>
      <c r="G138" s="6"/>
      <c r="H138" s="6"/>
      <c r="I138" s="5"/>
    </row>
    <row r="139" spans="4:9" ht="12.75" x14ac:dyDescent="0.2">
      <c r="D139" s="12"/>
      <c r="E139" s="12"/>
      <c r="F139" s="6"/>
      <c r="G139" s="6"/>
      <c r="H139" s="6"/>
      <c r="I139" s="5"/>
    </row>
    <row r="140" spans="4:9" ht="12.75" x14ac:dyDescent="0.2">
      <c r="D140" s="12"/>
      <c r="E140" s="12"/>
      <c r="F140" s="6"/>
      <c r="G140" s="6"/>
      <c r="H140" s="6"/>
      <c r="I140" s="5"/>
    </row>
    <row r="141" spans="4:9" ht="12.75" x14ac:dyDescent="0.2">
      <c r="D141" s="12"/>
      <c r="E141" s="12"/>
      <c r="F141" s="6"/>
      <c r="G141" s="6"/>
      <c r="H141" s="6"/>
      <c r="I141" s="5"/>
    </row>
    <row r="142" spans="4:9" ht="12.75" x14ac:dyDescent="0.2">
      <c r="D142" s="12"/>
      <c r="E142" s="12"/>
      <c r="F142" s="6"/>
      <c r="G142" s="6"/>
      <c r="H142" s="6"/>
      <c r="I142" s="5"/>
    </row>
    <row r="143" spans="4:9" ht="12.75" x14ac:dyDescent="0.2">
      <c r="D143" s="12"/>
      <c r="E143" s="12"/>
      <c r="F143" s="6"/>
      <c r="G143" s="6"/>
      <c r="H143" s="6"/>
      <c r="I143" s="5"/>
    </row>
    <row r="144" spans="4:9" ht="12.75" x14ac:dyDescent="0.2">
      <c r="D144" s="12"/>
      <c r="E144" s="12"/>
      <c r="F144" s="6"/>
      <c r="G144" s="6"/>
      <c r="H144" s="6"/>
      <c r="I144" s="5"/>
    </row>
    <row r="145" spans="4:9" ht="12.75" x14ac:dyDescent="0.2">
      <c r="D145" s="12"/>
      <c r="E145" s="12"/>
      <c r="F145" s="6"/>
      <c r="G145" s="6"/>
      <c r="H145" s="6"/>
      <c r="I145" s="5"/>
    </row>
    <row r="146" spans="4:9" ht="12.75" x14ac:dyDescent="0.2">
      <c r="D146" s="12"/>
      <c r="E146" s="12"/>
      <c r="F146" s="6"/>
      <c r="G146" s="6"/>
      <c r="H146" s="6"/>
      <c r="I146" s="5"/>
    </row>
    <row r="147" spans="4:9" ht="12.75" x14ac:dyDescent="0.2">
      <c r="D147" s="12"/>
      <c r="E147" s="12"/>
      <c r="F147" s="6"/>
      <c r="G147" s="6"/>
      <c r="H147" s="6"/>
      <c r="I147" s="5"/>
    </row>
    <row r="148" spans="4:9" ht="12.75" x14ac:dyDescent="0.2">
      <c r="D148" s="12"/>
      <c r="E148" s="12"/>
      <c r="F148" s="6"/>
      <c r="G148" s="6"/>
      <c r="H148" s="6"/>
      <c r="I148" s="5"/>
    </row>
    <row r="149" spans="4:9" ht="12.75" x14ac:dyDescent="0.2">
      <c r="D149" s="12"/>
      <c r="E149" s="12"/>
      <c r="F149" s="6"/>
      <c r="G149" s="6"/>
      <c r="H149" s="6"/>
      <c r="I149" s="5"/>
    </row>
    <row r="150" spans="4:9" ht="12.75" x14ac:dyDescent="0.2">
      <c r="D150" s="12"/>
      <c r="E150" s="12"/>
      <c r="F150" s="6"/>
      <c r="G150" s="6"/>
      <c r="H150" s="6"/>
      <c r="I150" s="5"/>
    </row>
    <row r="151" spans="4:9" ht="12.75" x14ac:dyDescent="0.2">
      <c r="D151" s="12"/>
      <c r="E151" s="12"/>
      <c r="F151" s="6"/>
      <c r="G151" s="6"/>
      <c r="H151" s="6"/>
      <c r="I151" s="5"/>
    </row>
    <row r="152" spans="4:9" ht="12.75" x14ac:dyDescent="0.2">
      <c r="D152" s="12"/>
      <c r="E152" s="12"/>
      <c r="F152" s="6"/>
      <c r="G152" s="6"/>
      <c r="H152" s="6"/>
      <c r="I152" s="5"/>
    </row>
    <row r="153" spans="4:9" ht="12.75" x14ac:dyDescent="0.2">
      <c r="D153" s="12"/>
      <c r="E153" s="12"/>
      <c r="F153" s="6"/>
      <c r="G153" s="6"/>
      <c r="H153" s="6"/>
      <c r="I153" s="5"/>
    </row>
    <row r="154" spans="4:9" ht="12.75" x14ac:dyDescent="0.2">
      <c r="D154" s="12"/>
      <c r="E154" s="12"/>
      <c r="F154" s="6"/>
      <c r="G154" s="6"/>
      <c r="H154" s="6"/>
      <c r="I154" s="5"/>
    </row>
    <row r="155" spans="4:9" ht="12.75" x14ac:dyDescent="0.2">
      <c r="D155" s="12"/>
      <c r="E155" s="12"/>
      <c r="F155" s="6"/>
      <c r="G155" s="6"/>
      <c r="H155" s="6"/>
      <c r="I155" s="5"/>
    </row>
    <row r="156" spans="4:9" ht="12.75" x14ac:dyDescent="0.2">
      <c r="D156" s="12"/>
      <c r="E156" s="12"/>
      <c r="F156" s="6"/>
      <c r="G156" s="6"/>
      <c r="H156" s="6"/>
      <c r="I156" s="5"/>
    </row>
    <row r="157" spans="4:9" ht="12.75" x14ac:dyDescent="0.2">
      <c r="D157" s="12"/>
      <c r="E157" s="12"/>
      <c r="F157" s="6"/>
      <c r="G157" s="6"/>
      <c r="H157" s="6"/>
      <c r="I157" s="5"/>
    </row>
    <row r="158" spans="4:9" ht="12.75" x14ac:dyDescent="0.2">
      <c r="D158" s="12"/>
      <c r="E158" s="12"/>
      <c r="F158" s="6"/>
      <c r="G158" s="6"/>
      <c r="H158" s="6"/>
      <c r="I158" s="5"/>
    </row>
    <row r="159" spans="4:9" ht="12.75" x14ac:dyDescent="0.2">
      <c r="D159" s="12"/>
      <c r="E159" s="12"/>
      <c r="F159" s="6"/>
      <c r="G159" s="6"/>
      <c r="H159" s="6"/>
      <c r="I159" s="5"/>
    </row>
    <row r="160" spans="4:9" ht="12.75" x14ac:dyDescent="0.2">
      <c r="D160" s="12"/>
      <c r="E160" s="12"/>
      <c r="F160" s="6"/>
      <c r="G160" s="6"/>
      <c r="H160" s="6"/>
      <c r="I160" s="5"/>
    </row>
    <row r="161" spans="4:9" ht="12.75" x14ac:dyDescent="0.2">
      <c r="D161" s="12"/>
      <c r="E161" s="12"/>
      <c r="F161" s="6"/>
      <c r="G161" s="6"/>
      <c r="H161" s="6"/>
      <c r="I161" s="5"/>
    </row>
    <row r="162" spans="4:9" ht="12.75" x14ac:dyDescent="0.2">
      <c r="D162" s="12"/>
      <c r="E162" s="12"/>
      <c r="F162" s="6"/>
      <c r="G162" s="6"/>
      <c r="H162" s="6"/>
      <c r="I162" s="5"/>
    </row>
    <row r="163" spans="4:9" ht="12.75" x14ac:dyDescent="0.2">
      <c r="D163" s="12"/>
      <c r="E163" s="12"/>
      <c r="F163" s="6"/>
      <c r="G163" s="6"/>
      <c r="H163" s="6"/>
      <c r="I163" s="5"/>
    </row>
    <row r="164" spans="4:9" ht="12.75" x14ac:dyDescent="0.2">
      <c r="D164" s="12"/>
      <c r="E164" s="12"/>
      <c r="F164" s="6"/>
      <c r="G164" s="6"/>
      <c r="H164" s="6"/>
      <c r="I164" s="5"/>
    </row>
    <row r="165" spans="4:9" ht="12.75" x14ac:dyDescent="0.2">
      <c r="D165" s="12"/>
      <c r="E165" s="12"/>
      <c r="F165" s="6"/>
      <c r="G165" s="6"/>
      <c r="H165" s="6"/>
      <c r="I165" s="5"/>
    </row>
    <row r="166" spans="4:9" ht="12.75" x14ac:dyDescent="0.2">
      <c r="D166" s="12"/>
      <c r="E166" s="12"/>
      <c r="F166" s="6"/>
      <c r="G166" s="6"/>
      <c r="H166" s="6"/>
      <c r="I166" s="5"/>
    </row>
    <row r="167" spans="4:9" ht="12.75" x14ac:dyDescent="0.2">
      <c r="D167" s="12"/>
      <c r="E167" s="12"/>
      <c r="F167" s="6"/>
      <c r="G167" s="6"/>
      <c r="H167" s="6"/>
      <c r="I167" s="5"/>
    </row>
    <row r="168" spans="4:9" ht="12.75" x14ac:dyDescent="0.2">
      <c r="D168" s="12"/>
      <c r="E168" s="12"/>
      <c r="F168" s="6"/>
      <c r="G168" s="6"/>
      <c r="H168" s="6"/>
      <c r="I168" s="5"/>
    </row>
    <row r="169" spans="4:9" ht="12.75" x14ac:dyDescent="0.2">
      <c r="D169" s="12"/>
      <c r="E169" s="12"/>
      <c r="F169" s="6"/>
      <c r="G169" s="6"/>
      <c r="H169" s="6"/>
      <c r="I169" s="5"/>
    </row>
    <row r="170" spans="4:9" ht="12.75" x14ac:dyDescent="0.2">
      <c r="D170" s="12"/>
      <c r="E170" s="12"/>
      <c r="F170" s="6"/>
      <c r="G170" s="6"/>
      <c r="H170" s="6"/>
      <c r="I170" s="5"/>
    </row>
    <row r="171" spans="4:9" ht="12.75" x14ac:dyDescent="0.2">
      <c r="D171" s="12"/>
      <c r="E171" s="12"/>
      <c r="F171" s="6"/>
      <c r="G171" s="6"/>
      <c r="H171" s="6"/>
      <c r="I171" s="5"/>
    </row>
    <row r="172" spans="4:9" ht="12.75" x14ac:dyDescent="0.2">
      <c r="D172" s="12"/>
      <c r="E172" s="12"/>
      <c r="F172" s="6"/>
      <c r="G172" s="6"/>
      <c r="H172" s="6"/>
      <c r="I172" s="5"/>
    </row>
    <row r="173" spans="4:9" ht="12.75" x14ac:dyDescent="0.2">
      <c r="D173" s="12"/>
      <c r="E173" s="12"/>
      <c r="F173" s="6"/>
      <c r="G173" s="6"/>
      <c r="H173" s="6"/>
      <c r="I173" s="5"/>
    </row>
    <row r="174" spans="4:9" ht="12.75" x14ac:dyDescent="0.2">
      <c r="D174" s="12"/>
      <c r="E174" s="12"/>
      <c r="F174" s="6"/>
      <c r="G174" s="6"/>
      <c r="H174" s="6"/>
      <c r="I174" s="5"/>
    </row>
    <row r="175" spans="4:9" ht="12.75" x14ac:dyDescent="0.2">
      <c r="D175" s="12"/>
      <c r="E175" s="12"/>
      <c r="F175" s="6"/>
      <c r="G175" s="6"/>
      <c r="H175" s="6"/>
      <c r="I175" s="5"/>
    </row>
    <row r="176" spans="4:9" ht="12.75" x14ac:dyDescent="0.2">
      <c r="D176" s="12"/>
      <c r="E176" s="12"/>
      <c r="F176" s="6"/>
      <c r="G176" s="6"/>
      <c r="H176" s="6"/>
      <c r="I176" s="5"/>
    </row>
    <row r="177" spans="4:9" ht="12.75" x14ac:dyDescent="0.2">
      <c r="D177" s="12"/>
      <c r="E177" s="12"/>
      <c r="F177" s="6"/>
      <c r="G177" s="6"/>
      <c r="H177" s="6"/>
      <c r="I177" s="5"/>
    </row>
    <row r="178" spans="4:9" ht="12.75" x14ac:dyDescent="0.2">
      <c r="D178" s="12"/>
      <c r="E178" s="12"/>
      <c r="F178" s="6"/>
      <c r="G178" s="6"/>
      <c r="H178" s="6"/>
      <c r="I178" s="5"/>
    </row>
    <row r="179" spans="4:9" ht="12.75" x14ac:dyDescent="0.2">
      <c r="D179" s="12"/>
      <c r="E179" s="12"/>
      <c r="F179" s="6"/>
      <c r="G179" s="6"/>
      <c r="H179" s="6"/>
      <c r="I179" s="5"/>
    </row>
    <row r="180" spans="4:9" ht="12.75" x14ac:dyDescent="0.2">
      <c r="D180" s="12"/>
      <c r="E180" s="12"/>
      <c r="F180" s="6"/>
      <c r="G180" s="6"/>
      <c r="H180" s="6"/>
      <c r="I180" s="5"/>
    </row>
    <row r="181" spans="4:9" ht="12.75" x14ac:dyDescent="0.2">
      <c r="D181" s="12"/>
      <c r="E181" s="12"/>
      <c r="F181" s="6"/>
      <c r="G181" s="6"/>
      <c r="H181" s="6"/>
      <c r="I181" s="5"/>
    </row>
    <row r="182" spans="4:9" ht="12.75" x14ac:dyDescent="0.2">
      <c r="D182" s="12"/>
      <c r="E182" s="12"/>
      <c r="F182" s="6"/>
      <c r="G182" s="6"/>
      <c r="H182" s="6"/>
      <c r="I182" s="5"/>
    </row>
    <row r="183" spans="4:9" ht="12.75" x14ac:dyDescent="0.2">
      <c r="D183" s="12"/>
      <c r="E183" s="12"/>
      <c r="F183" s="6"/>
      <c r="G183" s="6"/>
      <c r="H183" s="6"/>
      <c r="I183" s="5"/>
    </row>
    <row r="184" spans="4:9" ht="12.75" x14ac:dyDescent="0.2">
      <c r="D184" s="12"/>
      <c r="E184" s="12"/>
      <c r="F184" s="6"/>
      <c r="G184" s="6"/>
      <c r="H184" s="6"/>
      <c r="I184" s="5"/>
    </row>
    <row r="185" spans="4:9" ht="12.75" x14ac:dyDescent="0.2">
      <c r="D185" s="12"/>
      <c r="E185" s="12"/>
      <c r="F185" s="6"/>
      <c r="G185" s="6"/>
      <c r="H185" s="6"/>
      <c r="I185" s="5"/>
    </row>
    <row r="186" spans="4:9" ht="12.75" x14ac:dyDescent="0.2">
      <c r="D186" s="12"/>
      <c r="E186" s="12"/>
      <c r="F186" s="6"/>
      <c r="G186" s="6"/>
      <c r="H186" s="6"/>
      <c r="I186" s="5"/>
    </row>
    <row r="187" spans="4:9" ht="12.75" x14ac:dyDescent="0.2">
      <c r="D187" s="12"/>
      <c r="E187" s="12"/>
      <c r="F187" s="6"/>
      <c r="G187" s="6"/>
      <c r="H187" s="6"/>
      <c r="I187" s="5"/>
    </row>
    <row r="188" spans="4:9" ht="12.75" x14ac:dyDescent="0.2">
      <c r="D188" s="12"/>
      <c r="E188" s="12"/>
      <c r="F188" s="6"/>
      <c r="G188" s="6"/>
      <c r="H188" s="6"/>
      <c r="I188" s="5"/>
    </row>
    <row r="189" spans="4:9" ht="12.75" x14ac:dyDescent="0.2">
      <c r="D189" s="12"/>
      <c r="E189" s="12"/>
      <c r="F189" s="6"/>
      <c r="G189" s="6"/>
      <c r="H189" s="6"/>
      <c r="I189" s="5"/>
    </row>
    <row r="190" spans="4:9" ht="12.75" x14ac:dyDescent="0.2">
      <c r="D190" s="12"/>
      <c r="E190" s="12"/>
      <c r="F190" s="6"/>
      <c r="G190" s="6"/>
      <c r="H190" s="6"/>
      <c r="I190" s="5"/>
    </row>
    <row r="191" spans="4:9" ht="12.75" x14ac:dyDescent="0.2">
      <c r="D191" s="12"/>
      <c r="E191" s="12"/>
      <c r="F191" s="6"/>
      <c r="G191" s="6"/>
      <c r="H191" s="6"/>
      <c r="I191" s="5"/>
    </row>
    <row r="192" spans="4:9" ht="12.75" x14ac:dyDescent="0.2">
      <c r="D192" s="12"/>
      <c r="E192" s="12"/>
      <c r="F192" s="6"/>
      <c r="G192" s="6"/>
      <c r="H192" s="6"/>
      <c r="I192" s="5"/>
    </row>
    <row r="193" spans="4:9" ht="12.75" x14ac:dyDescent="0.2">
      <c r="D193" s="12"/>
      <c r="E193" s="12"/>
      <c r="F193" s="6"/>
      <c r="G193" s="6"/>
      <c r="H193" s="6"/>
      <c r="I193" s="5"/>
    </row>
    <row r="194" spans="4:9" ht="12.75" x14ac:dyDescent="0.2">
      <c r="D194" s="12"/>
      <c r="E194" s="12"/>
      <c r="F194" s="6"/>
      <c r="G194" s="6"/>
      <c r="H194" s="6"/>
      <c r="I194" s="5"/>
    </row>
    <row r="195" spans="4:9" ht="12.75" x14ac:dyDescent="0.2">
      <c r="D195" s="12"/>
      <c r="E195" s="12"/>
      <c r="F195" s="6"/>
      <c r="G195" s="6"/>
      <c r="H195" s="6"/>
      <c r="I195" s="5"/>
    </row>
    <row r="196" spans="4:9" ht="12.75" x14ac:dyDescent="0.2">
      <c r="D196" s="12"/>
      <c r="E196" s="12"/>
      <c r="F196" s="6"/>
      <c r="G196" s="6"/>
      <c r="H196" s="6"/>
      <c r="I196" s="5"/>
    </row>
    <row r="197" spans="4:9" ht="12.75" x14ac:dyDescent="0.2">
      <c r="D197" s="12"/>
      <c r="E197" s="12"/>
      <c r="F197" s="6"/>
      <c r="G197" s="6"/>
      <c r="H197" s="6"/>
      <c r="I197" s="5"/>
    </row>
    <row r="198" spans="4:9" ht="12.75" x14ac:dyDescent="0.2">
      <c r="D198" s="12"/>
      <c r="E198" s="12"/>
      <c r="F198" s="6"/>
      <c r="G198" s="6"/>
      <c r="H198" s="6"/>
      <c r="I198" s="5"/>
    </row>
    <row r="199" spans="4:9" ht="12.75" x14ac:dyDescent="0.2">
      <c r="D199" s="12"/>
      <c r="E199" s="12"/>
      <c r="F199" s="6"/>
      <c r="G199" s="6"/>
      <c r="H199" s="6"/>
      <c r="I199" s="5"/>
    </row>
    <row r="200" spans="4:9" ht="12.75" x14ac:dyDescent="0.2">
      <c r="D200" s="12"/>
      <c r="E200" s="12"/>
      <c r="F200" s="6"/>
      <c r="G200" s="6"/>
      <c r="H200" s="6"/>
      <c r="I200" s="5"/>
    </row>
    <row r="201" spans="4:9" ht="12.75" x14ac:dyDescent="0.2">
      <c r="D201" s="12"/>
      <c r="E201" s="12"/>
      <c r="F201" s="6"/>
      <c r="G201" s="6"/>
      <c r="H201" s="6"/>
      <c r="I201" s="5"/>
    </row>
    <row r="202" spans="4:9" ht="12.75" x14ac:dyDescent="0.2">
      <c r="D202" s="12"/>
      <c r="E202" s="12"/>
      <c r="F202" s="6"/>
      <c r="G202" s="6"/>
      <c r="H202" s="6"/>
      <c r="I202" s="5"/>
    </row>
    <row r="203" spans="4:9" ht="12.75" x14ac:dyDescent="0.2">
      <c r="D203" s="12"/>
      <c r="E203" s="12"/>
      <c r="F203" s="6"/>
      <c r="G203" s="6"/>
      <c r="H203" s="6"/>
      <c r="I203" s="5"/>
    </row>
    <row r="204" spans="4:9" ht="12.75" x14ac:dyDescent="0.2">
      <c r="D204" s="12"/>
      <c r="E204" s="12"/>
      <c r="F204" s="6"/>
      <c r="G204" s="6"/>
      <c r="H204" s="6"/>
      <c r="I204" s="5"/>
    </row>
    <row r="205" spans="4:9" ht="12.75" x14ac:dyDescent="0.2">
      <c r="D205" s="12"/>
      <c r="E205" s="12"/>
      <c r="F205" s="6"/>
      <c r="G205" s="6"/>
      <c r="H205" s="6"/>
      <c r="I205" s="5"/>
    </row>
    <row r="206" spans="4:9" ht="12.75" x14ac:dyDescent="0.2">
      <c r="D206" s="12"/>
      <c r="E206" s="12"/>
      <c r="F206" s="6"/>
      <c r="G206" s="6"/>
      <c r="H206" s="6"/>
      <c r="I206" s="5"/>
    </row>
    <row r="207" spans="4:9" ht="12.75" x14ac:dyDescent="0.2">
      <c r="D207" s="12"/>
      <c r="E207" s="12"/>
      <c r="F207" s="6"/>
      <c r="G207" s="6"/>
      <c r="H207" s="6"/>
      <c r="I207" s="5"/>
    </row>
    <row r="208" spans="4:9" ht="12.75" x14ac:dyDescent="0.2">
      <c r="D208" s="12"/>
      <c r="E208" s="12"/>
      <c r="F208" s="6"/>
      <c r="G208" s="6"/>
      <c r="H208" s="6"/>
      <c r="I208" s="5"/>
    </row>
    <row r="209" spans="4:9" ht="12.75" x14ac:dyDescent="0.2">
      <c r="D209" s="12"/>
      <c r="E209" s="12"/>
      <c r="F209" s="6"/>
      <c r="G209" s="6"/>
      <c r="H209" s="6"/>
      <c r="I209" s="5"/>
    </row>
    <row r="210" spans="4:9" ht="12.75" x14ac:dyDescent="0.2">
      <c r="D210" s="12"/>
      <c r="E210" s="12"/>
      <c r="F210" s="6"/>
      <c r="G210" s="6"/>
      <c r="H210" s="6"/>
      <c r="I210" s="5"/>
    </row>
    <row r="211" spans="4:9" ht="12.75" x14ac:dyDescent="0.2">
      <c r="D211" s="12"/>
      <c r="E211" s="12"/>
      <c r="F211" s="6"/>
      <c r="G211" s="6"/>
      <c r="H211" s="6"/>
      <c r="I211" s="5"/>
    </row>
    <row r="212" spans="4:9" ht="12.75" x14ac:dyDescent="0.2">
      <c r="D212" s="12"/>
      <c r="E212" s="12"/>
      <c r="F212" s="6"/>
      <c r="G212" s="6"/>
      <c r="H212" s="6"/>
      <c r="I212" s="5"/>
    </row>
    <row r="213" spans="4:9" ht="12.75" x14ac:dyDescent="0.2">
      <c r="D213" s="12"/>
      <c r="E213" s="12"/>
      <c r="F213" s="6"/>
      <c r="G213" s="6"/>
      <c r="H213" s="6"/>
      <c r="I213" s="5"/>
    </row>
    <row r="214" spans="4:9" ht="12.75" x14ac:dyDescent="0.2">
      <c r="D214" s="12"/>
      <c r="E214" s="12"/>
      <c r="F214" s="6"/>
      <c r="G214" s="6"/>
      <c r="H214" s="6"/>
      <c r="I214" s="5"/>
    </row>
    <row r="215" spans="4:9" ht="12.75" x14ac:dyDescent="0.2">
      <c r="D215" s="12"/>
      <c r="E215" s="12"/>
      <c r="F215" s="6"/>
      <c r="G215" s="6"/>
      <c r="H215" s="6"/>
      <c r="I215" s="5"/>
    </row>
    <row r="216" spans="4:9" ht="12.75" x14ac:dyDescent="0.2">
      <c r="D216" s="12"/>
      <c r="E216" s="12"/>
      <c r="F216" s="6"/>
      <c r="G216" s="6"/>
      <c r="H216" s="6"/>
      <c r="I216" s="5"/>
    </row>
    <row r="217" spans="4:9" ht="12.75" x14ac:dyDescent="0.2">
      <c r="D217" s="12"/>
      <c r="E217" s="12"/>
      <c r="F217" s="6"/>
      <c r="G217" s="6"/>
      <c r="H217" s="6"/>
      <c r="I217" s="5"/>
    </row>
    <row r="218" spans="4:9" ht="12.75" x14ac:dyDescent="0.2">
      <c r="D218" s="12"/>
      <c r="E218" s="12"/>
      <c r="F218" s="6"/>
      <c r="G218" s="6"/>
      <c r="H218" s="6"/>
      <c r="I218" s="5"/>
    </row>
    <row r="219" spans="4:9" ht="12.75" x14ac:dyDescent="0.2">
      <c r="D219" s="12"/>
      <c r="E219" s="12"/>
      <c r="F219" s="6"/>
      <c r="G219" s="6"/>
      <c r="H219" s="6"/>
      <c r="I219" s="5"/>
    </row>
    <row r="220" spans="4:9" ht="12.75" x14ac:dyDescent="0.2">
      <c r="D220" s="12"/>
      <c r="E220" s="12"/>
      <c r="F220" s="6"/>
      <c r="G220" s="6"/>
      <c r="H220" s="6"/>
      <c r="I220" s="5"/>
    </row>
    <row r="221" spans="4:9" ht="12.75" x14ac:dyDescent="0.2">
      <c r="D221" s="12"/>
      <c r="E221" s="12"/>
      <c r="F221" s="6"/>
      <c r="G221" s="6"/>
      <c r="H221" s="6"/>
      <c r="I221" s="5"/>
    </row>
    <row r="222" spans="4:9" ht="12.75" x14ac:dyDescent="0.2">
      <c r="D222" s="12"/>
      <c r="E222" s="12"/>
      <c r="F222" s="6"/>
      <c r="G222" s="6"/>
      <c r="H222" s="6"/>
      <c r="I222" s="5"/>
    </row>
    <row r="223" spans="4:9" ht="12.75" x14ac:dyDescent="0.2">
      <c r="D223" s="12"/>
      <c r="E223" s="12"/>
      <c r="F223" s="6"/>
      <c r="G223" s="6"/>
      <c r="H223" s="6"/>
      <c r="I223" s="5"/>
    </row>
    <row r="224" spans="4:9" ht="12.75" x14ac:dyDescent="0.2">
      <c r="D224" s="12"/>
      <c r="E224" s="12"/>
      <c r="F224" s="6"/>
      <c r="G224" s="6"/>
      <c r="H224" s="6"/>
      <c r="I224" s="5"/>
    </row>
    <row r="225" spans="4:9" ht="12.75" x14ac:dyDescent="0.2">
      <c r="D225" s="12"/>
      <c r="E225" s="12"/>
      <c r="F225" s="6"/>
      <c r="G225" s="6"/>
      <c r="H225" s="6"/>
      <c r="I225" s="5"/>
    </row>
    <row r="226" spans="4:9" ht="12.75" x14ac:dyDescent="0.2">
      <c r="D226" s="12"/>
      <c r="E226" s="12"/>
      <c r="F226" s="6"/>
      <c r="G226" s="6"/>
      <c r="H226" s="6"/>
      <c r="I226" s="5"/>
    </row>
    <row r="227" spans="4:9" ht="12.75" x14ac:dyDescent="0.2">
      <c r="D227" s="12"/>
      <c r="E227" s="12"/>
      <c r="F227" s="6"/>
      <c r="G227" s="6"/>
      <c r="H227" s="6"/>
      <c r="I227" s="5"/>
    </row>
    <row r="228" spans="4:9" ht="12.75" x14ac:dyDescent="0.2">
      <c r="D228" s="12"/>
      <c r="E228" s="12"/>
      <c r="F228" s="6"/>
      <c r="G228" s="6"/>
      <c r="H228" s="6"/>
      <c r="I228" s="5"/>
    </row>
    <row r="229" spans="4:9" ht="12.75" x14ac:dyDescent="0.2">
      <c r="D229" s="12"/>
      <c r="E229" s="12"/>
      <c r="F229" s="6"/>
      <c r="G229" s="6"/>
      <c r="H229" s="6"/>
      <c r="I229" s="5"/>
    </row>
    <row r="230" spans="4:9" ht="12.75" x14ac:dyDescent="0.2">
      <c r="D230" s="12"/>
      <c r="E230" s="12"/>
      <c r="F230" s="6"/>
      <c r="G230" s="6"/>
      <c r="H230" s="6"/>
      <c r="I230" s="5"/>
    </row>
    <row r="231" spans="4:9" ht="12.75" x14ac:dyDescent="0.2">
      <c r="D231" s="12"/>
      <c r="E231" s="12"/>
      <c r="F231" s="6"/>
      <c r="G231" s="6"/>
      <c r="H231" s="6"/>
      <c r="I231" s="5"/>
    </row>
    <row r="232" spans="4:9" ht="12.75" x14ac:dyDescent="0.2">
      <c r="D232" s="12"/>
      <c r="E232" s="12"/>
      <c r="F232" s="6"/>
      <c r="G232" s="6"/>
      <c r="H232" s="6"/>
      <c r="I232" s="5"/>
    </row>
    <row r="233" spans="4:9" ht="12.75" x14ac:dyDescent="0.2">
      <c r="D233" s="12"/>
      <c r="E233" s="12"/>
      <c r="F233" s="6"/>
      <c r="G233" s="6"/>
      <c r="H233" s="6"/>
      <c r="I233" s="5"/>
    </row>
    <row r="234" spans="4:9" ht="12.75" x14ac:dyDescent="0.2">
      <c r="D234" s="12"/>
      <c r="E234" s="12"/>
      <c r="F234" s="6"/>
      <c r="G234" s="6"/>
      <c r="H234" s="6"/>
      <c r="I234" s="5"/>
    </row>
    <row r="235" spans="4:9" ht="12.75" x14ac:dyDescent="0.2">
      <c r="D235" s="12"/>
      <c r="E235" s="12"/>
      <c r="F235" s="6"/>
      <c r="G235" s="6"/>
      <c r="H235" s="6"/>
      <c r="I235" s="5"/>
    </row>
    <row r="236" spans="4:9" ht="12.75" x14ac:dyDescent="0.2">
      <c r="D236" s="12"/>
      <c r="E236" s="12"/>
      <c r="F236" s="6"/>
      <c r="G236" s="6"/>
      <c r="H236" s="6"/>
      <c r="I236" s="5"/>
    </row>
    <row r="237" spans="4:9" ht="12.75" x14ac:dyDescent="0.2">
      <c r="D237" s="12"/>
      <c r="E237" s="12"/>
      <c r="F237" s="6"/>
      <c r="G237" s="6"/>
      <c r="H237" s="6"/>
      <c r="I237" s="5"/>
    </row>
    <row r="238" spans="4:9" ht="12.75" x14ac:dyDescent="0.2">
      <c r="D238" s="12"/>
      <c r="E238" s="12"/>
      <c r="F238" s="6"/>
      <c r="G238" s="6"/>
      <c r="H238" s="6"/>
      <c r="I238" s="5"/>
    </row>
    <row r="239" spans="4:9" ht="12.75" x14ac:dyDescent="0.2">
      <c r="D239" s="12"/>
      <c r="E239" s="12"/>
      <c r="F239" s="6"/>
      <c r="G239" s="6"/>
      <c r="H239" s="6"/>
      <c r="I239" s="5"/>
    </row>
    <row r="240" spans="4:9" ht="12.75" x14ac:dyDescent="0.2">
      <c r="D240" s="12"/>
      <c r="E240" s="12"/>
      <c r="F240" s="6"/>
      <c r="G240" s="6"/>
      <c r="H240" s="6"/>
      <c r="I240" s="5"/>
    </row>
    <row r="241" spans="4:9" ht="12.75" x14ac:dyDescent="0.2">
      <c r="D241" s="12"/>
      <c r="E241" s="12"/>
      <c r="F241" s="6"/>
      <c r="G241" s="6"/>
      <c r="H241" s="6"/>
      <c r="I241" s="5"/>
    </row>
    <row r="242" spans="4:9" ht="12.75" x14ac:dyDescent="0.2">
      <c r="D242" s="12"/>
      <c r="E242" s="12"/>
      <c r="F242" s="6"/>
      <c r="G242" s="6"/>
      <c r="H242" s="6"/>
      <c r="I242" s="5"/>
    </row>
    <row r="243" spans="4:9" ht="12.75" x14ac:dyDescent="0.2">
      <c r="D243" s="12"/>
      <c r="E243" s="12"/>
      <c r="F243" s="6"/>
      <c r="G243" s="6"/>
      <c r="H243" s="6"/>
      <c r="I243" s="5"/>
    </row>
    <row r="244" spans="4:9" ht="12.75" x14ac:dyDescent="0.2">
      <c r="D244" s="12"/>
      <c r="E244" s="12"/>
      <c r="F244" s="6"/>
      <c r="G244" s="6"/>
      <c r="H244" s="6"/>
      <c r="I244" s="5"/>
    </row>
    <row r="245" spans="4:9" ht="12.75" x14ac:dyDescent="0.2">
      <c r="D245" s="12"/>
      <c r="E245" s="12"/>
      <c r="F245" s="6"/>
      <c r="G245" s="6"/>
      <c r="H245" s="6"/>
      <c r="I245" s="5"/>
    </row>
    <row r="246" spans="4:9" ht="12.75" x14ac:dyDescent="0.2">
      <c r="D246" s="12"/>
      <c r="E246" s="12"/>
      <c r="F246" s="6"/>
      <c r="G246" s="6"/>
      <c r="H246" s="6"/>
      <c r="I246" s="5"/>
    </row>
    <row r="247" spans="4:9" ht="12.75" x14ac:dyDescent="0.2">
      <c r="D247" s="12"/>
      <c r="E247" s="12"/>
      <c r="F247" s="6"/>
      <c r="G247" s="6"/>
      <c r="H247" s="6"/>
      <c r="I247" s="5"/>
    </row>
    <row r="248" spans="4:9" ht="12.75" x14ac:dyDescent="0.2">
      <c r="D248" s="12"/>
      <c r="E248" s="12"/>
      <c r="F248" s="6"/>
      <c r="G248" s="6"/>
      <c r="H248" s="6"/>
      <c r="I248" s="5"/>
    </row>
    <row r="249" spans="4:9" ht="12.75" x14ac:dyDescent="0.2">
      <c r="D249" s="12"/>
      <c r="E249" s="12"/>
      <c r="F249" s="6"/>
      <c r="G249" s="6"/>
      <c r="H249" s="6"/>
      <c r="I249" s="5"/>
    </row>
    <row r="250" spans="4:9" ht="12.75" x14ac:dyDescent="0.2">
      <c r="D250" s="12"/>
      <c r="E250" s="12"/>
      <c r="F250" s="6"/>
      <c r="G250" s="6"/>
      <c r="H250" s="6"/>
      <c r="I250" s="5"/>
    </row>
    <row r="251" spans="4:9" ht="12.75" x14ac:dyDescent="0.2">
      <c r="D251" s="12"/>
      <c r="E251" s="12"/>
      <c r="F251" s="6"/>
      <c r="G251" s="6"/>
      <c r="H251" s="6"/>
      <c r="I251" s="5"/>
    </row>
    <row r="252" spans="4:9" ht="12.75" x14ac:dyDescent="0.2">
      <c r="D252" s="12"/>
      <c r="E252" s="12"/>
      <c r="F252" s="6"/>
      <c r="G252" s="6"/>
      <c r="H252" s="6"/>
      <c r="I252" s="5"/>
    </row>
    <row r="253" spans="4:9" ht="12.75" x14ac:dyDescent="0.2">
      <c r="D253" s="12"/>
      <c r="E253" s="12"/>
      <c r="F253" s="6"/>
      <c r="G253" s="6"/>
      <c r="H253" s="6"/>
      <c r="I253" s="5"/>
    </row>
    <row r="254" spans="4:9" ht="12.75" x14ac:dyDescent="0.2">
      <c r="D254" s="12"/>
      <c r="E254" s="12"/>
      <c r="F254" s="6"/>
      <c r="G254" s="6"/>
      <c r="H254" s="6"/>
      <c r="I254" s="5"/>
    </row>
    <row r="255" spans="4:9" ht="12.75" x14ac:dyDescent="0.2">
      <c r="D255" s="12"/>
      <c r="E255" s="12"/>
      <c r="F255" s="6"/>
      <c r="G255" s="6"/>
      <c r="H255" s="6"/>
      <c r="I255" s="5"/>
    </row>
    <row r="256" spans="4:9" ht="12.75" x14ac:dyDescent="0.2">
      <c r="D256" s="12"/>
      <c r="E256" s="12"/>
      <c r="F256" s="6"/>
      <c r="G256" s="6"/>
      <c r="H256" s="6"/>
      <c r="I256" s="5"/>
    </row>
    <row r="257" spans="4:9" ht="12.75" x14ac:dyDescent="0.2">
      <c r="D257" s="12"/>
      <c r="E257" s="12"/>
      <c r="F257" s="6"/>
      <c r="G257" s="6"/>
      <c r="H257" s="6"/>
      <c r="I257" s="5"/>
    </row>
    <row r="258" spans="4:9" ht="12.75" x14ac:dyDescent="0.2">
      <c r="D258" s="12"/>
      <c r="E258" s="12"/>
      <c r="F258" s="6"/>
      <c r="G258" s="6"/>
      <c r="H258" s="6"/>
      <c r="I258" s="5"/>
    </row>
    <row r="259" spans="4:9" ht="12.75" x14ac:dyDescent="0.2">
      <c r="D259" s="12"/>
      <c r="E259" s="12"/>
      <c r="F259" s="6"/>
      <c r="G259" s="6"/>
      <c r="H259" s="6"/>
      <c r="I259" s="5"/>
    </row>
    <row r="260" spans="4:9" ht="12.75" x14ac:dyDescent="0.2">
      <c r="D260" s="12"/>
      <c r="E260" s="12"/>
      <c r="F260" s="6"/>
      <c r="G260" s="6"/>
      <c r="H260" s="6"/>
      <c r="I260" s="5"/>
    </row>
    <row r="261" spans="4:9" ht="12.75" x14ac:dyDescent="0.2">
      <c r="D261" s="12"/>
      <c r="E261" s="12"/>
      <c r="F261" s="6"/>
      <c r="G261" s="6"/>
      <c r="H261" s="6"/>
      <c r="I261" s="5"/>
    </row>
    <row r="262" spans="4:9" ht="12.75" x14ac:dyDescent="0.2">
      <c r="D262" s="12"/>
      <c r="E262" s="12"/>
      <c r="F262" s="6"/>
      <c r="G262" s="6"/>
      <c r="H262" s="6"/>
      <c r="I262" s="5"/>
    </row>
    <row r="263" spans="4:9" ht="12.75" x14ac:dyDescent="0.2">
      <c r="D263" s="12"/>
      <c r="E263" s="12"/>
      <c r="F263" s="6"/>
      <c r="G263" s="6"/>
      <c r="H263" s="6"/>
      <c r="I263" s="5"/>
    </row>
    <row r="264" spans="4:9" ht="12.75" x14ac:dyDescent="0.2">
      <c r="D264" s="12"/>
      <c r="E264" s="12"/>
      <c r="F264" s="6"/>
      <c r="G264" s="6"/>
      <c r="H264" s="6"/>
      <c r="I264" s="5"/>
    </row>
    <row r="265" spans="4:9" ht="12.75" x14ac:dyDescent="0.2">
      <c r="D265" s="12"/>
      <c r="E265" s="12"/>
      <c r="F265" s="6"/>
      <c r="G265" s="6"/>
      <c r="H265" s="6"/>
      <c r="I265" s="5"/>
    </row>
    <row r="266" spans="4:9" ht="12.75" x14ac:dyDescent="0.2">
      <c r="D266" s="12"/>
      <c r="E266" s="12"/>
      <c r="F266" s="6"/>
      <c r="G266" s="6"/>
      <c r="H266" s="6"/>
      <c r="I266" s="5"/>
    </row>
    <row r="267" spans="4:9" ht="12.75" x14ac:dyDescent="0.2">
      <c r="D267" s="12"/>
      <c r="E267" s="12"/>
      <c r="F267" s="6"/>
      <c r="G267" s="6"/>
      <c r="H267" s="6"/>
      <c r="I267" s="5"/>
    </row>
    <row r="268" spans="4:9" ht="12.75" x14ac:dyDescent="0.2">
      <c r="D268" s="12"/>
      <c r="E268" s="12"/>
      <c r="F268" s="6"/>
      <c r="G268" s="6"/>
      <c r="H268" s="6"/>
      <c r="I268" s="5"/>
    </row>
    <row r="269" spans="4:9" ht="12.75" x14ac:dyDescent="0.2">
      <c r="D269" s="12"/>
      <c r="E269" s="12"/>
      <c r="F269" s="6"/>
      <c r="G269" s="6"/>
      <c r="H269" s="6"/>
      <c r="I269" s="5"/>
    </row>
    <row r="270" spans="4:9" ht="12.75" x14ac:dyDescent="0.2">
      <c r="D270" s="12"/>
      <c r="E270" s="12"/>
      <c r="F270" s="6"/>
      <c r="G270" s="6"/>
      <c r="H270" s="6"/>
      <c r="I270" s="5"/>
    </row>
    <row r="271" spans="4:9" ht="12.75" x14ac:dyDescent="0.2">
      <c r="D271" s="12"/>
      <c r="E271" s="12"/>
      <c r="F271" s="6"/>
      <c r="G271" s="6"/>
      <c r="H271" s="6"/>
      <c r="I271" s="5"/>
    </row>
    <row r="272" spans="4:9" ht="12.75" x14ac:dyDescent="0.2">
      <c r="D272" s="12"/>
      <c r="E272" s="12"/>
      <c r="F272" s="6"/>
      <c r="G272" s="6"/>
      <c r="H272" s="6"/>
      <c r="I272" s="5"/>
    </row>
    <row r="273" spans="4:9" ht="12.75" x14ac:dyDescent="0.2">
      <c r="D273" s="12"/>
      <c r="E273" s="12"/>
      <c r="F273" s="6"/>
      <c r="G273" s="6"/>
      <c r="H273" s="6"/>
      <c r="I273" s="5"/>
    </row>
    <row r="274" spans="4:9" ht="12.75" x14ac:dyDescent="0.2">
      <c r="D274" s="12"/>
      <c r="E274" s="12"/>
      <c r="F274" s="6"/>
      <c r="G274" s="6"/>
      <c r="H274" s="6"/>
      <c r="I274" s="5"/>
    </row>
    <row r="275" spans="4:9" ht="12.75" x14ac:dyDescent="0.2">
      <c r="D275" s="12"/>
      <c r="E275" s="12"/>
      <c r="F275" s="6"/>
      <c r="G275" s="6"/>
      <c r="H275" s="6"/>
      <c r="I275" s="5"/>
    </row>
    <row r="276" spans="4:9" ht="12.75" x14ac:dyDescent="0.2">
      <c r="D276" s="12"/>
      <c r="E276" s="12"/>
      <c r="F276" s="6"/>
      <c r="G276" s="6"/>
      <c r="H276" s="6"/>
      <c r="I276" s="5"/>
    </row>
    <row r="277" spans="4:9" ht="12.75" x14ac:dyDescent="0.2">
      <c r="D277" s="12"/>
      <c r="E277" s="12"/>
      <c r="F277" s="6"/>
      <c r="G277" s="6"/>
      <c r="H277" s="6"/>
      <c r="I277" s="5"/>
    </row>
    <row r="278" spans="4:9" ht="12.75" x14ac:dyDescent="0.2">
      <c r="D278" s="12"/>
      <c r="E278" s="12"/>
      <c r="F278" s="6"/>
      <c r="G278" s="6"/>
      <c r="H278" s="6"/>
      <c r="I278" s="5"/>
    </row>
    <row r="279" spans="4:9" ht="12.75" x14ac:dyDescent="0.2">
      <c r="D279" s="12"/>
      <c r="E279" s="12"/>
      <c r="F279" s="6"/>
      <c r="G279" s="6"/>
      <c r="H279" s="6"/>
      <c r="I279" s="5"/>
    </row>
    <row r="280" spans="4:9" ht="12.75" x14ac:dyDescent="0.2">
      <c r="D280" s="12"/>
      <c r="E280" s="12"/>
      <c r="F280" s="6"/>
      <c r="G280" s="6"/>
      <c r="H280" s="6"/>
      <c r="I280" s="5"/>
    </row>
    <row r="281" spans="4:9" ht="12.75" x14ac:dyDescent="0.2">
      <c r="D281" s="12"/>
      <c r="E281" s="12"/>
      <c r="F281" s="6"/>
      <c r="G281" s="6"/>
      <c r="H281" s="6"/>
      <c r="I281" s="5"/>
    </row>
    <row r="282" spans="4:9" ht="12.75" x14ac:dyDescent="0.2">
      <c r="D282" s="12"/>
      <c r="E282" s="12"/>
      <c r="F282" s="6"/>
      <c r="G282" s="6"/>
      <c r="H282" s="6"/>
      <c r="I282" s="5"/>
    </row>
    <row r="283" spans="4:9" ht="12.75" x14ac:dyDescent="0.2">
      <c r="D283" s="12"/>
      <c r="E283" s="12"/>
      <c r="F283" s="6"/>
      <c r="G283" s="6"/>
      <c r="H283" s="6"/>
      <c r="I283" s="5"/>
    </row>
    <row r="284" spans="4:9" ht="12.75" x14ac:dyDescent="0.2">
      <c r="D284" s="12"/>
      <c r="E284" s="12"/>
      <c r="F284" s="6"/>
      <c r="G284" s="6"/>
      <c r="H284" s="6"/>
      <c r="I284" s="5"/>
    </row>
    <row r="285" spans="4:9" ht="12.75" x14ac:dyDescent="0.2">
      <c r="D285" s="12"/>
      <c r="E285" s="12"/>
      <c r="F285" s="6"/>
      <c r="G285" s="6"/>
      <c r="H285" s="6"/>
      <c r="I285" s="5"/>
    </row>
    <row r="286" spans="4:9" ht="12.75" x14ac:dyDescent="0.2">
      <c r="D286" s="12"/>
      <c r="E286" s="12"/>
      <c r="F286" s="6"/>
      <c r="G286" s="6"/>
      <c r="H286" s="6"/>
      <c r="I286" s="5"/>
    </row>
    <row r="287" spans="4:9" ht="12.75" x14ac:dyDescent="0.2">
      <c r="D287" s="12"/>
      <c r="E287" s="12"/>
      <c r="F287" s="6"/>
      <c r="G287" s="6"/>
      <c r="H287" s="6"/>
      <c r="I287" s="5"/>
    </row>
    <row r="288" spans="4:9" ht="12.75" x14ac:dyDescent="0.2">
      <c r="D288" s="12"/>
      <c r="E288" s="12"/>
      <c r="F288" s="6"/>
      <c r="G288" s="6"/>
      <c r="H288" s="6"/>
      <c r="I288" s="5"/>
    </row>
    <row r="289" spans="4:9" ht="12.75" x14ac:dyDescent="0.2">
      <c r="D289" s="12"/>
      <c r="E289" s="12"/>
      <c r="F289" s="6"/>
      <c r="G289" s="6"/>
      <c r="H289" s="6"/>
      <c r="I289" s="5"/>
    </row>
    <row r="290" spans="4:9" ht="12.75" x14ac:dyDescent="0.2">
      <c r="D290" s="12"/>
      <c r="E290" s="12"/>
      <c r="F290" s="6"/>
      <c r="G290" s="6"/>
      <c r="H290" s="6"/>
      <c r="I290" s="5"/>
    </row>
    <row r="291" spans="4:9" ht="12.75" x14ac:dyDescent="0.2">
      <c r="D291" s="12"/>
      <c r="E291" s="12"/>
      <c r="F291" s="6"/>
      <c r="G291" s="6"/>
      <c r="H291" s="6"/>
      <c r="I291" s="5"/>
    </row>
    <row r="292" spans="4:9" ht="12.75" x14ac:dyDescent="0.2">
      <c r="D292" s="12"/>
      <c r="E292" s="12"/>
      <c r="F292" s="6"/>
      <c r="G292" s="6"/>
      <c r="H292" s="6"/>
      <c r="I292" s="5"/>
    </row>
    <row r="293" spans="4:9" ht="12.75" x14ac:dyDescent="0.2">
      <c r="D293" s="12"/>
      <c r="E293" s="12"/>
      <c r="F293" s="6"/>
      <c r="G293" s="6"/>
      <c r="H293" s="6"/>
      <c r="I293" s="5"/>
    </row>
    <row r="294" spans="4:9" ht="12.75" x14ac:dyDescent="0.2">
      <c r="D294" s="12"/>
      <c r="E294" s="12"/>
      <c r="F294" s="6"/>
      <c r="G294" s="6"/>
      <c r="H294" s="6"/>
      <c r="I294" s="5"/>
    </row>
    <row r="295" spans="4:9" ht="12.75" x14ac:dyDescent="0.2">
      <c r="D295" s="12"/>
      <c r="E295" s="12"/>
      <c r="F295" s="6"/>
      <c r="G295" s="6"/>
      <c r="H295" s="6"/>
      <c r="I295" s="5"/>
    </row>
    <row r="296" spans="4:9" ht="12.75" x14ac:dyDescent="0.2">
      <c r="D296" s="12"/>
      <c r="E296" s="12"/>
      <c r="F296" s="6"/>
      <c r="G296" s="6"/>
      <c r="H296" s="6"/>
      <c r="I296" s="5"/>
    </row>
    <row r="297" spans="4:9" ht="12.75" x14ac:dyDescent="0.2">
      <c r="D297" s="12"/>
      <c r="E297" s="12"/>
      <c r="F297" s="6"/>
      <c r="G297" s="6"/>
      <c r="H297" s="6"/>
      <c r="I297" s="5"/>
    </row>
    <row r="298" spans="4:9" ht="12.75" x14ac:dyDescent="0.2">
      <c r="D298" s="12"/>
      <c r="E298" s="12"/>
      <c r="F298" s="6"/>
      <c r="G298" s="6"/>
      <c r="H298" s="6"/>
      <c r="I298" s="5"/>
    </row>
    <row r="299" spans="4:9" ht="12.75" x14ac:dyDescent="0.2">
      <c r="D299" s="12"/>
      <c r="E299" s="12"/>
      <c r="F299" s="6"/>
      <c r="G299" s="6"/>
      <c r="H299" s="6"/>
      <c r="I299" s="5"/>
    </row>
    <row r="300" spans="4:9" ht="12.75" x14ac:dyDescent="0.2">
      <c r="D300" s="12"/>
      <c r="E300" s="12"/>
      <c r="F300" s="6"/>
      <c r="G300" s="6"/>
      <c r="H300" s="6"/>
      <c r="I300" s="5"/>
    </row>
    <row r="301" spans="4:9" ht="12.75" x14ac:dyDescent="0.2">
      <c r="D301" s="12"/>
      <c r="E301" s="12"/>
      <c r="F301" s="6"/>
      <c r="G301" s="6"/>
      <c r="H301" s="6"/>
      <c r="I301" s="5"/>
    </row>
    <row r="302" spans="4:9" ht="12.75" x14ac:dyDescent="0.2">
      <c r="D302" s="12"/>
      <c r="E302" s="12"/>
      <c r="F302" s="6"/>
      <c r="G302" s="6"/>
      <c r="H302" s="6"/>
      <c r="I302" s="5"/>
    </row>
    <row r="303" spans="4:9" ht="12.75" x14ac:dyDescent="0.2">
      <c r="D303" s="12"/>
      <c r="E303" s="12"/>
      <c r="F303" s="6"/>
      <c r="G303" s="6"/>
      <c r="H303" s="6"/>
      <c r="I303" s="5"/>
    </row>
    <row r="304" spans="4:9" ht="12.75" x14ac:dyDescent="0.2">
      <c r="D304" s="12"/>
      <c r="E304" s="12"/>
      <c r="F304" s="6"/>
      <c r="G304" s="6"/>
      <c r="H304" s="6"/>
      <c r="I304" s="5"/>
    </row>
    <row r="305" spans="4:9" ht="12.75" x14ac:dyDescent="0.2">
      <c r="D305" s="12"/>
      <c r="E305" s="12"/>
      <c r="F305" s="6"/>
      <c r="G305" s="6"/>
      <c r="H305" s="6"/>
      <c r="I305" s="5"/>
    </row>
    <row r="306" spans="4:9" ht="12.75" x14ac:dyDescent="0.2">
      <c r="D306" s="12"/>
      <c r="E306" s="12"/>
      <c r="F306" s="6"/>
      <c r="G306" s="6"/>
      <c r="H306" s="6"/>
      <c r="I306" s="5"/>
    </row>
    <row r="307" spans="4:9" ht="12.75" x14ac:dyDescent="0.2">
      <c r="D307" s="12"/>
      <c r="E307" s="12"/>
      <c r="F307" s="6"/>
      <c r="G307" s="6"/>
      <c r="H307" s="6"/>
      <c r="I307" s="5"/>
    </row>
    <row r="308" spans="4:9" ht="12.75" x14ac:dyDescent="0.2">
      <c r="D308" s="12"/>
      <c r="E308" s="12"/>
      <c r="F308" s="6"/>
      <c r="G308" s="6"/>
      <c r="H308" s="6"/>
      <c r="I308" s="5"/>
    </row>
    <row r="309" spans="4:9" ht="12.75" x14ac:dyDescent="0.2">
      <c r="D309" s="12"/>
      <c r="E309" s="12"/>
      <c r="F309" s="6"/>
      <c r="G309" s="6"/>
      <c r="H309" s="6"/>
      <c r="I309" s="5"/>
    </row>
    <row r="310" spans="4:9" ht="12.75" x14ac:dyDescent="0.2">
      <c r="D310" s="12"/>
      <c r="E310" s="12"/>
      <c r="F310" s="6"/>
      <c r="G310" s="6"/>
      <c r="H310" s="6"/>
      <c r="I310" s="5"/>
    </row>
    <row r="311" spans="4:9" ht="12.75" x14ac:dyDescent="0.2">
      <c r="D311" s="12"/>
      <c r="E311" s="12"/>
      <c r="F311" s="6"/>
      <c r="G311" s="6"/>
      <c r="H311" s="6"/>
      <c r="I311" s="5"/>
    </row>
    <row r="312" spans="4:9" ht="12.75" x14ac:dyDescent="0.2">
      <c r="D312" s="12"/>
      <c r="E312" s="12"/>
      <c r="F312" s="6"/>
      <c r="G312" s="6"/>
      <c r="H312" s="6"/>
      <c r="I312" s="5"/>
    </row>
    <row r="313" spans="4:9" ht="12.75" x14ac:dyDescent="0.2">
      <c r="D313" s="12"/>
      <c r="E313" s="12"/>
      <c r="F313" s="6"/>
      <c r="G313" s="6"/>
      <c r="H313" s="6"/>
      <c r="I313" s="5"/>
    </row>
    <row r="314" spans="4:9" ht="12.75" x14ac:dyDescent="0.2">
      <c r="D314" s="12"/>
      <c r="E314" s="12"/>
      <c r="F314" s="6"/>
      <c r="G314" s="6"/>
      <c r="H314" s="6"/>
      <c r="I314" s="5"/>
    </row>
    <row r="315" spans="4:9" ht="12.75" x14ac:dyDescent="0.2">
      <c r="D315" s="12"/>
      <c r="E315" s="12"/>
      <c r="F315" s="6"/>
      <c r="G315" s="6"/>
      <c r="H315" s="6"/>
      <c r="I315" s="5"/>
    </row>
    <row r="316" spans="4:9" ht="12.75" x14ac:dyDescent="0.2">
      <c r="D316" s="12"/>
      <c r="E316" s="12"/>
      <c r="F316" s="6"/>
      <c r="G316" s="6"/>
      <c r="H316" s="6"/>
      <c r="I316" s="5"/>
    </row>
    <row r="317" spans="4:9" ht="12.75" x14ac:dyDescent="0.2">
      <c r="D317" s="12"/>
      <c r="E317" s="12"/>
      <c r="F317" s="6"/>
      <c r="G317" s="6"/>
      <c r="H317" s="6"/>
      <c r="I317" s="5"/>
    </row>
    <row r="318" spans="4:9" ht="12.75" x14ac:dyDescent="0.2">
      <c r="D318" s="12"/>
      <c r="E318" s="12"/>
      <c r="F318" s="6"/>
      <c r="G318" s="6"/>
      <c r="H318" s="6"/>
      <c r="I318" s="5"/>
    </row>
    <row r="319" spans="4:9" ht="12.75" x14ac:dyDescent="0.2">
      <c r="D319" s="12"/>
      <c r="E319" s="12"/>
      <c r="F319" s="6"/>
      <c r="G319" s="6"/>
      <c r="H319" s="6"/>
      <c r="I319" s="5"/>
    </row>
    <row r="320" spans="4:9" ht="12.75" x14ac:dyDescent="0.2">
      <c r="D320" s="12"/>
      <c r="E320" s="12"/>
      <c r="F320" s="6"/>
      <c r="G320" s="6"/>
      <c r="H320" s="6"/>
      <c r="I320" s="5"/>
    </row>
    <row r="321" spans="4:9" ht="12.75" x14ac:dyDescent="0.2">
      <c r="D321" s="12"/>
      <c r="E321" s="12"/>
      <c r="F321" s="6"/>
      <c r="G321" s="6"/>
      <c r="H321" s="6"/>
      <c r="I321" s="5"/>
    </row>
    <row r="322" spans="4:9" ht="12.75" x14ac:dyDescent="0.2">
      <c r="D322" s="12"/>
      <c r="E322" s="12"/>
      <c r="F322" s="6"/>
      <c r="G322" s="6"/>
      <c r="H322" s="6"/>
      <c r="I322" s="5"/>
    </row>
    <row r="323" spans="4:9" ht="12.75" x14ac:dyDescent="0.2">
      <c r="D323" s="12"/>
      <c r="E323" s="12"/>
      <c r="F323" s="6"/>
      <c r="G323" s="6"/>
      <c r="H323" s="6"/>
      <c r="I323" s="5"/>
    </row>
    <row r="324" spans="4:9" ht="12.75" x14ac:dyDescent="0.2">
      <c r="D324" s="12"/>
      <c r="E324" s="12"/>
      <c r="F324" s="6"/>
      <c r="G324" s="6"/>
      <c r="H324" s="6"/>
      <c r="I324" s="5"/>
    </row>
    <row r="325" spans="4:9" ht="12.75" x14ac:dyDescent="0.2">
      <c r="D325" s="12"/>
      <c r="E325" s="12"/>
      <c r="F325" s="6"/>
      <c r="G325" s="6"/>
      <c r="H325" s="6"/>
      <c r="I325" s="5"/>
    </row>
    <row r="326" spans="4:9" ht="12.75" x14ac:dyDescent="0.2">
      <c r="D326" s="12"/>
      <c r="E326" s="12"/>
      <c r="F326" s="6"/>
      <c r="G326" s="6"/>
      <c r="H326" s="6"/>
      <c r="I326" s="5"/>
    </row>
    <row r="327" spans="4:9" ht="12.75" x14ac:dyDescent="0.2">
      <c r="D327" s="12"/>
      <c r="E327" s="12"/>
      <c r="F327" s="6"/>
      <c r="G327" s="6"/>
      <c r="H327" s="6"/>
      <c r="I327" s="5"/>
    </row>
    <row r="328" spans="4:9" ht="12.75" x14ac:dyDescent="0.2">
      <c r="D328" s="12"/>
      <c r="E328" s="12"/>
      <c r="F328" s="6"/>
      <c r="G328" s="6"/>
      <c r="H328" s="6"/>
      <c r="I328" s="5"/>
    </row>
    <row r="329" spans="4:9" ht="12.75" x14ac:dyDescent="0.2">
      <c r="D329" s="12"/>
      <c r="E329" s="12"/>
      <c r="F329" s="6"/>
      <c r="G329" s="6"/>
      <c r="H329" s="6"/>
      <c r="I329" s="5"/>
    </row>
    <row r="330" spans="4:9" ht="12.75" x14ac:dyDescent="0.2">
      <c r="D330" s="12"/>
      <c r="E330" s="12"/>
      <c r="F330" s="6"/>
      <c r="G330" s="6"/>
      <c r="H330" s="6"/>
      <c r="I330" s="5"/>
    </row>
    <row r="331" spans="4:9" ht="12.75" x14ac:dyDescent="0.2">
      <c r="D331" s="12"/>
      <c r="E331" s="12"/>
      <c r="F331" s="6"/>
      <c r="G331" s="6"/>
      <c r="H331" s="6"/>
      <c r="I331" s="5"/>
    </row>
    <row r="332" spans="4:9" ht="12.75" x14ac:dyDescent="0.2">
      <c r="D332" s="12"/>
      <c r="E332" s="12"/>
      <c r="F332" s="6"/>
      <c r="G332" s="6"/>
      <c r="H332" s="6"/>
      <c r="I332" s="5"/>
    </row>
    <row r="333" spans="4:9" ht="12.75" x14ac:dyDescent="0.2">
      <c r="D333" s="12"/>
      <c r="E333" s="12"/>
      <c r="F333" s="6"/>
      <c r="G333" s="6"/>
      <c r="H333" s="6"/>
      <c r="I333" s="5"/>
    </row>
    <row r="334" spans="4:9" ht="12.75" x14ac:dyDescent="0.2">
      <c r="D334" s="12"/>
      <c r="E334" s="12"/>
      <c r="F334" s="6"/>
      <c r="G334" s="6"/>
      <c r="H334" s="6"/>
      <c r="I334" s="5"/>
    </row>
    <row r="335" spans="4:9" ht="12.75" x14ac:dyDescent="0.2">
      <c r="D335" s="12"/>
      <c r="E335" s="12"/>
      <c r="F335" s="6"/>
      <c r="G335" s="6"/>
      <c r="H335" s="6"/>
      <c r="I335" s="5"/>
    </row>
    <row r="336" spans="4:9" ht="12.75" x14ac:dyDescent="0.2">
      <c r="D336" s="12"/>
      <c r="E336" s="12"/>
      <c r="F336" s="6"/>
      <c r="G336" s="6"/>
      <c r="H336" s="6"/>
      <c r="I336" s="5"/>
    </row>
    <row r="337" spans="4:9" ht="12.75" x14ac:dyDescent="0.2">
      <c r="D337" s="12"/>
      <c r="E337" s="12"/>
      <c r="F337" s="6"/>
      <c r="G337" s="6"/>
      <c r="H337" s="6"/>
      <c r="I337" s="5"/>
    </row>
    <row r="338" spans="4:9" ht="12.75" x14ac:dyDescent="0.2">
      <c r="D338" s="12"/>
      <c r="E338" s="12"/>
      <c r="F338" s="6"/>
      <c r="G338" s="6"/>
      <c r="H338" s="6"/>
      <c r="I338" s="5"/>
    </row>
    <row r="339" spans="4:9" ht="12.75" x14ac:dyDescent="0.2">
      <c r="D339" s="12"/>
      <c r="E339" s="12"/>
      <c r="F339" s="6"/>
      <c r="G339" s="6"/>
      <c r="H339" s="6"/>
      <c r="I339" s="5"/>
    </row>
    <row r="340" spans="4:9" ht="12.75" x14ac:dyDescent="0.2">
      <c r="D340" s="12"/>
      <c r="E340" s="12"/>
      <c r="F340" s="6"/>
      <c r="G340" s="6"/>
      <c r="H340" s="6"/>
      <c r="I340" s="5"/>
    </row>
    <row r="341" spans="4:9" ht="12.75" x14ac:dyDescent="0.2">
      <c r="D341" s="12"/>
      <c r="E341" s="12"/>
      <c r="F341" s="6"/>
      <c r="G341" s="6"/>
      <c r="H341" s="6"/>
      <c r="I341" s="5"/>
    </row>
    <row r="342" spans="4:9" ht="12.75" x14ac:dyDescent="0.2">
      <c r="D342" s="12"/>
      <c r="E342" s="12"/>
      <c r="F342" s="6"/>
      <c r="G342" s="6"/>
      <c r="H342" s="6"/>
      <c r="I342" s="5"/>
    </row>
    <row r="343" spans="4:9" ht="12.75" x14ac:dyDescent="0.2">
      <c r="D343" s="12"/>
      <c r="E343" s="12"/>
      <c r="F343" s="6"/>
      <c r="G343" s="6"/>
      <c r="H343" s="6"/>
      <c r="I343" s="5"/>
    </row>
    <row r="344" spans="4:9" ht="12.75" x14ac:dyDescent="0.2">
      <c r="D344" s="12"/>
      <c r="E344" s="12"/>
      <c r="F344" s="6"/>
      <c r="G344" s="6"/>
      <c r="H344" s="6"/>
      <c r="I344" s="5"/>
    </row>
    <row r="345" spans="4:9" ht="12.75" x14ac:dyDescent="0.2">
      <c r="D345" s="12"/>
      <c r="E345" s="12"/>
      <c r="F345" s="6"/>
      <c r="G345" s="6"/>
      <c r="H345" s="6"/>
      <c r="I345" s="5"/>
    </row>
    <row r="346" spans="4:9" ht="12.75" x14ac:dyDescent="0.2">
      <c r="D346" s="12"/>
      <c r="E346" s="12"/>
      <c r="F346" s="6"/>
      <c r="G346" s="6"/>
      <c r="H346" s="6"/>
      <c r="I346" s="5"/>
    </row>
    <row r="347" spans="4:9" ht="12.75" x14ac:dyDescent="0.2">
      <c r="D347" s="12"/>
      <c r="E347" s="12"/>
      <c r="F347" s="6"/>
      <c r="G347" s="6"/>
      <c r="H347" s="6"/>
      <c r="I347" s="5"/>
    </row>
    <row r="348" spans="4:9" ht="12.75" x14ac:dyDescent="0.2">
      <c r="D348" s="12"/>
      <c r="E348" s="12"/>
      <c r="F348" s="6"/>
      <c r="G348" s="6"/>
      <c r="H348" s="6"/>
      <c r="I348" s="5"/>
    </row>
    <row r="349" spans="4:9" ht="12.75" x14ac:dyDescent="0.2">
      <c r="D349" s="12"/>
      <c r="E349" s="12"/>
      <c r="F349" s="6"/>
      <c r="G349" s="6"/>
      <c r="H349" s="6"/>
      <c r="I349" s="5"/>
    </row>
    <row r="350" spans="4:9" ht="12.75" x14ac:dyDescent="0.2">
      <c r="D350" s="12"/>
      <c r="E350" s="12"/>
      <c r="F350" s="6"/>
      <c r="G350" s="6"/>
      <c r="H350" s="6"/>
      <c r="I350" s="5"/>
    </row>
    <row r="351" spans="4:9" ht="12.75" x14ac:dyDescent="0.2">
      <c r="D351" s="12"/>
      <c r="E351" s="12"/>
      <c r="F351" s="6"/>
      <c r="G351" s="6"/>
      <c r="H351" s="6"/>
      <c r="I351" s="5"/>
    </row>
    <row r="352" spans="4:9" ht="12.75" x14ac:dyDescent="0.2">
      <c r="D352" s="12"/>
      <c r="E352" s="12"/>
      <c r="F352" s="6"/>
      <c r="G352" s="6"/>
      <c r="H352" s="6"/>
      <c r="I352" s="5"/>
    </row>
    <row r="353" spans="4:9" ht="12.75" x14ac:dyDescent="0.2">
      <c r="D353" s="12"/>
      <c r="E353" s="12"/>
      <c r="F353" s="6"/>
      <c r="G353" s="6"/>
      <c r="H353" s="6"/>
      <c r="I353" s="5"/>
    </row>
    <row r="354" spans="4:9" ht="12.75" x14ac:dyDescent="0.2">
      <c r="D354" s="12"/>
      <c r="E354" s="12"/>
      <c r="F354" s="6"/>
      <c r="G354" s="6"/>
      <c r="H354" s="6"/>
      <c r="I354" s="5"/>
    </row>
    <row r="355" spans="4:9" ht="12.75" x14ac:dyDescent="0.2">
      <c r="D355" s="12"/>
      <c r="E355" s="12"/>
      <c r="F355" s="6"/>
      <c r="G355" s="6"/>
      <c r="H355" s="6"/>
      <c r="I355" s="5"/>
    </row>
    <row r="356" spans="4:9" ht="12.75" x14ac:dyDescent="0.2">
      <c r="D356" s="12"/>
      <c r="E356" s="12"/>
      <c r="F356" s="6"/>
      <c r="G356" s="6"/>
      <c r="H356" s="6"/>
      <c r="I356" s="5"/>
    </row>
    <row r="357" spans="4:9" ht="12.75" x14ac:dyDescent="0.2">
      <c r="D357" s="12"/>
      <c r="E357" s="12"/>
      <c r="F357" s="6"/>
      <c r="G357" s="6"/>
      <c r="H357" s="6"/>
      <c r="I357" s="5"/>
    </row>
    <row r="358" spans="4:9" ht="12.75" x14ac:dyDescent="0.2">
      <c r="D358" s="12"/>
      <c r="E358" s="12"/>
      <c r="F358" s="6"/>
      <c r="G358" s="6"/>
      <c r="H358" s="6"/>
      <c r="I358" s="5"/>
    </row>
    <row r="359" spans="4:9" ht="12.75" x14ac:dyDescent="0.2">
      <c r="D359" s="12"/>
      <c r="E359" s="12"/>
      <c r="F359" s="6"/>
      <c r="G359" s="6"/>
      <c r="H359" s="6"/>
      <c r="I359" s="5"/>
    </row>
    <row r="360" spans="4:9" ht="12.75" x14ac:dyDescent="0.2">
      <c r="D360" s="12"/>
      <c r="E360" s="12"/>
      <c r="F360" s="6"/>
      <c r="G360" s="6"/>
      <c r="H360" s="6"/>
      <c r="I360" s="5"/>
    </row>
    <row r="361" spans="4:9" ht="12.75" x14ac:dyDescent="0.2">
      <c r="D361" s="12"/>
      <c r="E361" s="12"/>
      <c r="F361" s="6"/>
      <c r="G361" s="6"/>
      <c r="H361" s="6"/>
      <c r="I361" s="5"/>
    </row>
    <row r="362" spans="4:9" ht="12.75" x14ac:dyDescent="0.2">
      <c r="D362" s="12"/>
      <c r="E362" s="12"/>
      <c r="F362" s="6"/>
      <c r="G362" s="6"/>
      <c r="H362" s="6"/>
      <c r="I362" s="5"/>
    </row>
    <row r="363" spans="4:9" ht="12.75" x14ac:dyDescent="0.2">
      <c r="D363" s="12"/>
      <c r="E363" s="12"/>
      <c r="F363" s="6"/>
      <c r="G363" s="6"/>
      <c r="H363" s="6"/>
      <c r="I363" s="5"/>
    </row>
    <row r="364" spans="4:9" ht="12.75" x14ac:dyDescent="0.2">
      <c r="D364" s="12"/>
      <c r="E364" s="12"/>
      <c r="F364" s="6"/>
      <c r="G364" s="6"/>
      <c r="H364" s="6"/>
      <c r="I364" s="5"/>
    </row>
    <row r="365" spans="4:9" ht="12.75" x14ac:dyDescent="0.2">
      <c r="D365" s="12"/>
      <c r="E365" s="12"/>
      <c r="F365" s="6"/>
      <c r="G365" s="6"/>
      <c r="H365" s="6"/>
      <c r="I365" s="5"/>
    </row>
    <row r="366" spans="4:9" ht="12.75" x14ac:dyDescent="0.2">
      <c r="D366" s="12"/>
      <c r="E366" s="12"/>
      <c r="F366" s="6"/>
      <c r="G366" s="6"/>
      <c r="H366" s="6"/>
      <c r="I366" s="5"/>
    </row>
    <row r="367" spans="4:9" ht="12.75" x14ac:dyDescent="0.2">
      <c r="D367" s="12"/>
      <c r="E367" s="12"/>
      <c r="F367" s="6"/>
      <c r="G367" s="6"/>
      <c r="H367" s="6"/>
      <c r="I367" s="5"/>
    </row>
    <row r="368" spans="4:9" ht="12.75" x14ac:dyDescent="0.2">
      <c r="D368" s="12"/>
      <c r="E368" s="12"/>
      <c r="F368" s="6"/>
      <c r="G368" s="6"/>
      <c r="H368" s="6"/>
      <c r="I368" s="5"/>
    </row>
    <row r="369" spans="4:9" ht="12.75" x14ac:dyDescent="0.2">
      <c r="D369" s="12"/>
      <c r="E369" s="12"/>
      <c r="F369" s="6"/>
      <c r="G369" s="6"/>
      <c r="H369" s="6"/>
      <c r="I369" s="5"/>
    </row>
    <row r="370" spans="4:9" ht="12.75" x14ac:dyDescent="0.2">
      <c r="D370" s="12"/>
      <c r="E370" s="12"/>
      <c r="F370" s="6"/>
      <c r="G370" s="6"/>
      <c r="H370" s="6"/>
      <c r="I370" s="5"/>
    </row>
    <row r="371" spans="4:9" ht="12.75" x14ac:dyDescent="0.2">
      <c r="D371" s="12"/>
      <c r="E371" s="12"/>
      <c r="F371" s="6"/>
      <c r="G371" s="6"/>
      <c r="H371" s="6"/>
      <c r="I371" s="5"/>
    </row>
    <row r="372" spans="4:9" ht="12.75" x14ac:dyDescent="0.2">
      <c r="D372" s="12"/>
      <c r="E372" s="12"/>
      <c r="F372" s="6"/>
      <c r="G372" s="6"/>
      <c r="H372" s="6"/>
      <c r="I372" s="5"/>
    </row>
    <row r="373" spans="4:9" ht="12.75" x14ac:dyDescent="0.2">
      <c r="D373" s="12"/>
      <c r="E373" s="12"/>
      <c r="F373" s="6"/>
      <c r="G373" s="6"/>
      <c r="H373" s="6"/>
      <c r="I373" s="5"/>
    </row>
    <row r="374" spans="4:9" ht="12.75" x14ac:dyDescent="0.2">
      <c r="D374" s="12"/>
      <c r="E374" s="12"/>
      <c r="F374" s="6"/>
      <c r="G374" s="6"/>
      <c r="H374" s="6"/>
      <c r="I374" s="5"/>
    </row>
    <row r="375" spans="4:9" ht="12.75" x14ac:dyDescent="0.2">
      <c r="D375" s="12"/>
      <c r="E375" s="12"/>
      <c r="F375" s="6"/>
      <c r="G375" s="6"/>
      <c r="H375" s="6"/>
      <c r="I375" s="5"/>
    </row>
    <row r="376" spans="4:9" ht="12.75" x14ac:dyDescent="0.2">
      <c r="D376" s="12"/>
      <c r="E376" s="12"/>
      <c r="F376" s="6"/>
      <c r="G376" s="6"/>
      <c r="H376" s="6"/>
      <c r="I376" s="5"/>
    </row>
    <row r="377" spans="4:9" ht="12.75" x14ac:dyDescent="0.2">
      <c r="D377" s="12"/>
      <c r="E377" s="12"/>
      <c r="F377" s="6"/>
      <c r="G377" s="6"/>
      <c r="H377" s="6"/>
      <c r="I377" s="5"/>
    </row>
    <row r="378" spans="4:9" ht="12.75" x14ac:dyDescent="0.2">
      <c r="D378" s="12"/>
      <c r="E378" s="12"/>
      <c r="F378" s="6"/>
      <c r="G378" s="6"/>
      <c r="H378" s="6"/>
      <c r="I378" s="5"/>
    </row>
    <row r="379" spans="4:9" ht="12.75" x14ac:dyDescent="0.2">
      <c r="D379" s="12"/>
      <c r="E379" s="12"/>
      <c r="F379" s="6"/>
      <c r="G379" s="6"/>
      <c r="H379" s="6"/>
      <c r="I379" s="5"/>
    </row>
    <row r="380" spans="4:9" ht="12.75" x14ac:dyDescent="0.2">
      <c r="D380" s="12"/>
      <c r="E380" s="12"/>
      <c r="F380" s="6"/>
      <c r="G380" s="6"/>
      <c r="H380" s="6"/>
      <c r="I380" s="5"/>
    </row>
    <row r="381" spans="4:9" ht="12.75" x14ac:dyDescent="0.2">
      <c r="D381" s="12"/>
      <c r="E381" s="12"/>
      <c r="F381" s="6"/>
      <c r="G381" s="6"/>
      <c r="H381" s="6"/>
      <c r="I381" s="5"/>
    </row>
    <row r="382" spans="4:9" ht="12.75" x14ac:dyDescent="0.2">
      <c r="D382" s="12"/>
      <c r="E382" s="12"/>
      <c r="F382" s="6"/>
      <c r="G382" s="6"/>
      <c r="H382" s="6"/>
      <c r="I382" s="5"/>
    </row>
    <row r="383" spans="4:9" ht="12.75" x14ac:dyDescent="0.2">
      <c r="D383" s="12"/>
      <c r="E383" s="12"/>
      <c r="F383" s="6"/>
      <c r="G383" s="6"/>
      <c r="H383" s="6"/>
      <c r="I383" s="5"/>
    </row>
    <row r="384" spans="4:9" ht="12.75" x14ac:dyDescent="0.2">
      <c r="D384" s="12"/>
      <c r="E384" s="12"/>
      <c r="F384" s="6"/>
      <c r="G384" s="6"/>
      <c r="H384" s="6"/>
      <c r="I384" s="5"/>
    </row>
    <row r="385" spans="4:9" ht="12.75" x14ac:dyDescent="0.2">
      <c r="D385" s="12"/>
      <c r="E385" s="12"/>
      <c r="F385" s="6"/>
      <c r="G385" s="6"/>
      <c r="H385" s="6"/>
      <c r="I385" s="5"/>
    </row>
    <row r="386" spans="4:9" ht="12.75" x14ac:dyDescent="0.2">
      <c r="D386" s="12"/>
      <c r="E386" s="12"/>
      <c r="F386" s="6"/>
      <c r="G386" s="6"/>
      <c r="H386" s="6"/>
      <c r="I386" s="5"/>
    </row>
    <row r="387" spans="4:9" ht="12.75" x14ac:dyDescent="0.2">
      <c r="D387" s="12"/>
      <c r="E387" s="12"/>
      <c r="F387" s="6"/>
      <c r="G387" s="6"/>
      <c r="H387" s="6"/>
      <c r="I387" s="5"/>
    </row>
    <row r="388" spans="4:9" ht="12.75" x14ac:dyDescent="0.2">
      <c r="D388" s="12"/>
      <c r="E388" s="12"/>
      <c r="F388" s="6"/>
      <c r="G388" s="6"/>
      <c r="H388" s="6"/>
      <c r="I388" s="5"/>
    </row>
    <row r="389" spans="4:9" ht="12.75" x14ac:dyDescent="0.2">
      <c r="D389" s="12"/>
      <c r="E389" s="12"/>
      <c r="F389" s="6"/>
      <c r="G389" s="6"/>
      <c r="H389" s="6"/>
      <c r="I389" s="5"/>
    </row>
    <row r="390" spans="4:9" ht="12.75" x14ac:dyDescent="0.2">
      <c r="D390" s="12"/>
      <c r="E390" s="12"/>
      <c r="F390" s="6"/>
      <c r="G390" s="6"/>
      <c r="H390" s="6"/>
      <c r="I390" s="5"/>
    </row>
    <row r="391" spans="4:9" ht="12.75" x14ac:dyDescent="0.2">
      <c r="D391" s="12"/>
      <c r="E391" s="12"/>
      <c r="F391" s="6"/>
      <c r="G391" s="6"/>
      <c r="H391" s="6"/>
      <c r="I391" s="5"/>
    </row>
    <row r="392" spans="4:9" ht="12.75" x14ac:dyDescent="0.2">
      <c r="D392" s="12"/>
      <c r="E392" s="12"/>
      <c r="F392" s="6"/>
      <c r="G392" s="6"/>
      <c r="H392" s="6"/>
      <c r="I392" s="5"/>
    </row>
    <row r="393" spans="4:9" ht="12.75" x14ac:dyDescent="0.2">
      <c r="D393" s="12"/>
      <c r="E393" s="12"/>
      <c r="F393" s="6"/>
      <c r="G393" s="6"/>
      <c r="H393" s="6"/>
      <c r="I393" s="5"/>
    </row>
    <row r="394" spans="4:9" ht="12.75" x14ac:dyDescent="0.2">
      <c r="D394" s="12"/>
      <c r="E394" s="12"/>
      <c r="F394" s="6"/>
      <c r="G394" s="6"/>
      <c r="H394" s="6"/>
      <c r="I394" s="5"/>
    </row>
    <row r="395" spans="4:9" ht="12.75" x14ac:dyDescent="0.2">
      <c r="D395" s="12"/>
      <c r="E395" s="12"/>
      <c r="F395" s="6"/>
      <c r="G395" s="6"/>
      <c r="H395" s="6"/>
      <c r="I395" s="5"/>
    </row>
    <row r="396" spans="4:9" ht="12.75" x14ac:dyDescent="0.2">
      <c r="D396" s="12"/>
      <c r="E396" s="12"/>
      <c r="F396" s="6"/>
      <c r="G396" s="6"/>
      <c r="H396" s="6"/>
      <c r="I396" s="5"/>
    </row>
    <row r="397" spans="4:9" ht="12.75" x14ac:dyDescent="0.2">
      <c r="D397" s="12"/>
      <c r="E397" s="12"/>
      <c r="F397" s="6"/>
      <c r="G397" s="6"/>
      <c r="H397" s="6"/>
      <c r="I397" s="5"/>
    </row>
    <row r="398" spans="4:9" ht="12.75" x14ac:dyDescent="0.2">
      <c r="D398" s="12"/>
      <c r="E398" s="12"/>
      <c r="F398" s="6"/>
      <c r="G398" s="6"/>
      <c r="H398" s="6"/>
      <c r="I398" s="5"/>
    </row>
    <row r="399" spans="4:9" ht="12.75" x14ac:dyDescent="0.2">
      <c r="D399" s="12"/>
      <c r="E399" s="12"/>
      <c r="F399" s="6"/>
      <c r="G399" s="6"/>
      <c r="H399" s="6"/>
      <c r="I399" s="5"/>
    </row>
    <row r="400" spans="4:9" ht="12.75" x14ac:dyDescent="0.2">
      <c r="D400" s="12"/>
      <c r="E400" s="12"/>
      <c r="F400" s="6"/>
      <c r="G400" s="6"/>
      <c r="H400" s="6"/>
      <c r="I400" s="5"/>
    </row>
    <row r="401" spans="4:9" ht="12.75" x14ac:dyDescent="0.2">
      <c r="D401" s="12"/>
      <c r="E401" s="12"/>
      <c r="F401" s="6"/>
      <c r="G401" s="6"/>
      <c r="H401" s="6"/>
      <c r="I401" s="5"/>
    </row>
    <row r="402" spans="4:9" ht="12.75" x14ac:dyDescent="0.2">
      <c r="D402" s="12"/>
      <c r="E402" s="12"/>
      <c r="F402" s="6"/>
      <c r="G402" s="6"/>
      <c r="H402" s="6"/>
      <c r="I402" s="5"/>
    </row>
    <row r="403" spans="4:9" ht="12.75" x14ac:dyDescent="0.2">
      <c r="D403" s="12"/>
      <c r="E403" s="12"/>
      <c r="F403" s="6"/>
      <c r="G403" s="6"/>
      <c r="H403" s="6"/>
      <c r="I403" s="5"/>
    </row>
    <row r="404" spans="4:9" ht="12.75" x14ac:dyDescent="0.2">
      <c r="D404" s="12"/>
      <c r="E404" s="12"/>
      <c r="F404" s="6"/>
      <c r="G404" s="6"/>
      <c r="H404" s="6"/>
      <c r="I404" s="5"/>
    </row>
    <row r="405" spans="4:9" ht="12.75" x14ac:dyDescent="0.2">
      <c r="D405" s="12"/>
      <c r="E405" s="12"/>
      <c r="F405" s="6"/>
      <c r="G405" s="6"/>
      <c r="H405" s="6"/>
      <c r="I405" s="5"/>
    </row>
    <row r="406" spans="4:9" ht="12.75" x14ac:dyDescent="0.2">
      <c r="D406" s="12"/>
      <c r="E406" s="12"/>
      <c r="F406" s="6"/>
      <c r="G406" s="6"/>
      <c r="H406" s="6"/>
      <c r="I406" s="5"/>
    </row>
    <row r="407" spans="4:9" ht="12.75" x14ac:dyDescent="0.2">
      <c r="D407" s="12"/>
      <c r="E407" s="12"/>
      <c r="F407" s="6"/>
      <c r="G407" s="6"/>
      <c r="H407" s="6"/>
      <c r="I407" s="5"/>
    </row>
    <row r="408" spans="4:9" ht="12.75" x14ac:dyDescent="0.2">
      <c r="D408" s="12"/>
      <c r="E408" s="12"/>
      <c r="F408" s="6"/>
      <c r="G408" s="6"/>
      <c r="H408" s="6"/>
      <c r="I408" s="5"/>
    </row>
    <row r="409" spans="4:9" ht="12.75" x14ac:dyDescent="0.2">
      <c r="D409" s="12"/>
      <c r="E409" s="12"/>
      <c r="F409" s="6"/>
      <c r="G409" s="6"/>
      <c r="H409" s="6"/>
      <c r="I409" s="5"/>
    </row>
    <row r="410" spans="4:9" ht="12.75" x14ac:dyDescent="0.2">
      <c r="D410" s="12"/>
      <c r="E410" s="12"/>
      <c r="F410" s="6"/>
      <c r="G410" s="6"/>
      <c r="H410" s="6"/>
      <c r="I410" s="5"/>
    </row>
    <row r="411" spans="4:9" ht="12.75" x14ac:dyDescent="0.2">
      <c r="D411" s="12"/>
      <c r="E411" s="12"/>
      <c r="F411" s="6"/>
      <c r="G411" s="6"/>
      <c r="H411" s="6"/>
      <c r="I411" s="5"/>
    </row>
    <row r="412" spans="4:9" ht="12.75" x14ac:dyDescent="0.2">
      <c r="D412" s="12"/>
      <c r="E412" s="12"/>
      <c r="F412" s="6"/>
      <c r="G412" s="6"/>
      <c r="H412" s="6"/>
      <c r="I412" s="5"/>
    </row>
    <row r="413" spans="4:9" ht="12.75" x14ac:dyDescent="0.2">
      <c r="D413" s="12"/>
      <c r="E413" s="12"/>
      <c r="F413" s="6"/>
      <c r="G413" s="6"/>
      <c r="H413" s="6"/>
      <c r="I413" s="5"/>
    </row>
    <row r="414" spans="4:9" ht="12.75" x14ac:dyDescent="0.2">
      <c r="D414" s="12"/>
      <c r="E414" s="12"/>
      <c r="F414" s="6"/>
      <c r="G414" s="6"/>
      <c r="H414" s="6"/>
      <c r="I414" s="5"/>
    </row>
    <row r="415" spans="4:9" ht="12.75" x14ac:dyDescent="0.2">
      <c r="D415" s="12"/>
      <c r="E415" s="12"/>
      <c r="F415" s="6"/>
      <c r="G415" s="6"/>
      <c r="H415" s="6"/>
      <c r="I415" s="5"/>
    </row>
    <row r="416" spans="4:9" ht="12.75" x14ac:dyDescent="0.2">
      <c r="D416" s="12"/>
      <c r="E416" s="12"/>
      <c r="F416" s="6"/>
      <c r="G416" s="6"/>
      <c r="H416" s="6"/>
      <c r="I416" s="5"/>
    </row>
    <row r="417" spans="4:9" ht="12.75" x14ac:dyDescent="0.2">
      <c r="D417" s="12"/>
      <c r="E417" s="12"/>
      <c r="F417" s="6"/>
      <c r="G417" s="6"/>
      <c r="H417" s="6"/>
      <c r="I417" s="5"/>
    </row>
    <row r="418" spans="4:9" ht="12.75" x14ac:dyDescent="0.2">
      <c r="D418" s="12"/>
      <c r="E418" s="12"/>
      <c r="F418" s="6"/>
      <c r="G418" s="6"/>
      <c r="H418" s="6"/>
      <c r="I418" s="5"/>
    </row>
    <row r="419" spans="4:9" ht="12.75" x14ac:dyDescent="0.2">
      <c r="D419" s="12"/>
      <c r="E419" s="12"/>
      <c r="F419" s="6"/>
      <c r="G419" s="6"/>
      <c r="H419" s="6"/>
      <c r="I419" s="5"/>
    </row>
    <row r="420" spans="4:9" ht="12.75" x14ac:dyDescent="0.2">
      <c r="D420" s="12"/>
      <c r="E420" s="12"/>
      <c r="F420" s="6"/>
      <c r="G420" s="6"/>
      <c r="H420" s="6"/>
      <c r="I420" s="5"/>
    </row>
    <row r="421" spans="4:9" ht="12.75" x14ac:dyDescent="0.2">
      <c r="D421" s="12"/>
      <c r="E421" s="12"/>
      <c r="F421" s="6"/>
      <c r="G421" s="6"/>
      <c r="H421" s="6"/>
      <c r="I421" s="5"/>
    </row>
    <row r="422" spans="4:9" ht="12.75" x14ac:dyDescent="0.2">
      <c r="D422" s="12"/>
      <c r="E422" s="12"/>
      <c r="F422" s="6"/>
      <c r="G422" s="6"/>
      <c r="H422" s="6"/>
      <c r="I422" s="5"/>
    </row>
    <row r="423" spans="4:9" ht="12.75" x14ac:dyDescent="0.2">
      <c r="D423" s="12"/>
      <c r="E423" s="12"/>
      <c r="F423" s="6"/>
      <c r="G423" s="6"/>
      <c r="H423" s="6"/>
      <c r="I423" s="5"/>
    </row>
    <row r="424" spans="4:9" ht="12.75" x14ac:dyDescent="0.2">
      <c r="D424" s="12"/>
      <c r="E424" s="12"/>
      <c r="F424" s="6"/>
      <c r="G424" s="6"/>
      <c r="H424" s="6"/>
      <c r="I424" s="5"/>
    </row>
    <row r="425" spans="4:9" ht="12.75" x14ac:dyDescent="0.2">
      <c r="D425" s="12"/>
      <c r="E425" s="12"/>
      <c r="F425" s="6"/>
      <c r="G425" s="6"/>
      <c r="H425" s="6"/>
      <c r="I425" s="5"/>
    </row>
    <row r="426" spans="4:9" ht="12.75" x14ac:dyDescent="0.2">
      <c r="D426" s="12"/>
      <c r="E426" s="12"/>
      <c r="F426" s="6"/>
      <c r="G426" s="6"/>
      <c r="H426" s="6"/>
      <c r="I426" s="5"/>
    </row>
    <row r="427" spans="4:9" ht="12.75" x14ac:dyDescent="0.2">
      <c r="D427" s="12"/>
      <c r="E427" s="12"/>
      <c r="F427" s="6"/>
      <c r="G427" s="6"/>
      <c r="H427" s="6"/>
      <c r="I427" s="5"/>
    </row>
    <row r="428" spans="4:9" ht="12.75" x14ac:dyDescent="0.2">
      <c r="D428" s="12"/>
      <c r="E428" s="12"/>
      <c r="F428" s="6"/>
      <c r="G428" s="6"/>
      <c r="H428" s="6"/>
      <c r="I428" s="5"/>
    </row>
    <row r="429" spans="4:9" ht="12.75" x14ac:dyDescent="0.2">
      <c r="D429" s="12"/>
      <c r="E429" s="12"/>
      <c r="F429" s="6"/>
      <c r="G429" s="6"/>
      <c r="H429" s="6"/>
      <c r="I429" s="5"/>
    </row>
    <row r="430" spans="4:9" ht="12.75" x14ac:dyDescent="0.2">
      <c r="D430" s="12"/>
      <c r="E430" s="12"/>
      <c r="F430" s="6"/>
      <c r="G430" s="6"/>
      <c r="H430" s="6"/>
      <c r="I430" s="5"/>
    </row>
    <row r="431" spans="4:9" ht="12.75" x14ac:dyDescent="0.2">
      <c r="D431" s="12"/>
      <c r="E431" s="12"/>
      <c r="F431" s="6"/>
      <c r="G431" s="6"/>
      <c r="H431" s="6"/>
      <c r="I431" s="5"/>
    </row>
    <row r="432" spans="4:9" ht="12.75" x14ac:dyDescent="0.2">
      <c r="D432" s="12"/>
      <c r="E432" s="12"/>
      <c r="F432" s="6"/>
      <c r="G432" s="6"/>
      <c r="H432" s="6"/>
      <c r="I432" s="5"/>
    </row>
    <row r="433" spans="4:9" ht="12.75" x14ac:dyDescent="0.2">
      <c r="D433" s="12"/>
      <c r="E433" s="12"/>
      <c r="F433" s="6"/>
      <c r="G433" s="6"/>
      <c r="H433" s="6"/>
      <c r="I433" s="5"/>
    </row>
    <row r="434" spans="4:9" ht="12.75" x14ac:dyDescent="0.2">
      <c r="D434" s="12"/>
      <c r="E434" s="12"/>
      <c r="F434" s="6"/>
      <c r="G434" s="6"/>
      <c r="H434" s="6"/>
      <c r="I434" s="5"/>
    </row>
    <row r="435" spans="4:9" ht="12.75" x14ac:dyDescent="0.2">
      <c r="D435" s="12"/>
      <c r="E435" s="12"/>
      <c r="F435" s="6"/>
      <c r="G435" s="6"/>
      <c r="H435" s="6"/>
      <c r="I435" s="5"/>
    </row>
    <row r="436" spans="4:9" ht="12.75" x14ac:dyDescent="0.2">
      <c r="D436" s="12"/>
      <c r="E436" s="12"/>
      <c r="F436" s="6"/>
      <c r="G436" s="6"/>
      <c r="H436" s="6"/>
      <c r="I436" s="5"/>
    </row>
    <row r="437" spans="4:9" ht="12.75" x14ac:dyDescent="0.2">
      <c r="D437" s="12"/>
      <c r="E437" s="12"/>
      <c r="F437" s="6"/>
      <c r="G437" s="6"/>
      <c r="H437" s="6"/>
      <c r="I437" s="5"/>
    </row>
    <row r="438" spans="4:9" ht="12.75" x14ac:dyDescent="0.2">
      <c r="D438" s="12"/>
      <c r="E438" s="12"/>
      <c r="F438" s="6"/>
      <c r="G438" s="6"/>
      <c r="H438" s="6"/>
      <c r="I438" s="5"/>
    </row>
    <row r="439" spans="4:9" ht="12.75" x14ac:dyDescent="0.2">
      <c r="D439" s="12"/>
      <c r="E439" s="12"/>
      <c r="F439" s="6"/>
      <c r="G439" s="6"/>
      <c r="H439" s="6"/>
      <c r="I439" s="5"/>
    </row>
    <row r="440" spans="4:9" ht="12.75" x14ac:dyDescent="0.2">
      <c r="D440" s="12"/>
      <c r="E440" s="12"/>
      <c r="F440" s="6"/>
      <c r="G440" s="6"/>
      <c r="H440" s="6"/>
      <c r="I440" s="5"/>
    </row>
    <row r="441" spans="4:9" ht="12.75" x14ac:dyDescent="0.2">
      <c r="D441" s="12"/>
      <c r="E441" s="12"/>
      <c r="F441" s="6"/>
      <c r="G441" s="6"/>
      <c r="H441" s="6"/>
      <c r="I441" s="5"/>
    </row>
    <row r="442" spans="4:9" ht="12.75" x14ac:dyDescent="0.2">
      <c r="D442" s="12"/>
      <c r="E442" s="12"/>
      <c r="F442" s="6"/>
      <c r="G442" s="6"/>
      <c r="H442" s="6"/>
      <c r="I442" s="5"/>
    </row>
    <row r="443" spans="4:9" ht="12.75" x14ac:dyDescent="0.2">
      <c r="D443" s="12"/>
      <c r="E443" s="12"/>
      <c r="F443" s="6"/>
      <c r="G443" s="6"/>
      <c r="H443" s="6"/>
      <c r="I443" s="5"/>
    </row>
    <row r="444" spans="4:9" ht="12.75" x14ac:dyDescent="0.2">
      <c r="D444" s="12"/>
      <c r="E444" s="12"/>
      <c r="F444" s="6"/>
      <c r="G444" s="6"/>
      <c r="H444" s="6"/>
      <c r="I444" s="5"/>
    </row>
    <row r="445" spans="4:9" ht="12.75" x14ac:dyDescent="0.2">
      <c r="D445" s="12"/>
      <c r="E445" s="12"/>
      <c r="F445" s="6"/>
      <c r="G445" s="6"/>
      <c r="H445" s="6"/>
      <c r="I445" s="5"/>
    </row>
    <row r="446" spans="4:9" ht="12.75" x14ac:dyDescent="0.2">
      <c r="D446" s="12"/>
      <c r="E446" s="12"/>
      <c r="F446" s="6"/>
      <c r="G446" s="6"/>
      <c r="H446" s="6"/>
      <c r="I446" s="5"/>
    </row>
    <row r="447" spans="4:9" ht="12.75" x14ac:dyDescent="0.2">
      <c r="D447" s="12"/>
      <c r="E447" s="12"/>
      <c r="F447" s="6"/>
      <c r="G447" s="6"/>
      <c r="H447" s="6"/>
      <c r="I447" s="5"/>
    </row>
    <row r="448" spans="4:9" ht="12.75" x14ac:dyDescent="0.2">
      <c r="D448" s="12"/>
      <c r="E448" s="12"/>
      <c r="F448" s="6"/>
      <c r="G448" s="6"/>
      <c r="H448" s="6"/>
      <c r="I448" s="5"/>
    </row>
    <row r="449" spans="4:9" ht="12.75" x14ac:dyDescent="0.2">
      <c r="D449" s="12"/>
      <c r="E449" s="12"/>
      <c r="F449" s="6"/>
      <c r="G449" s="6"/>
      <c r="H449" s="6"/>
      <c r="I449" s="5"/>
    </row>
    <row r="450" spans="4:9" ht="12.75" x14ac:dyDescent="0.2">
      <c r="D450" s="12"/>
      <c r="E450" s="12"/>
      <c r="F450" s="6"/>
      <c r="G450" s="6"/>
      <c r="H450" s="6"/>
      <c r="I450" s="5"/>
    </row>
    <row r="451" spans="4:9" ht="12.75" x14ac:dyDescent="0.2">
      <c r="D451" s="12"/>
      <c r="E451" s="12"/>
      <c r="F451" s="6"/>
      <c r="G451" s="6"/>
      <c r="H451" s="6"/>
      <c r="I451" s="5"/>
    </row>
    <row r="452" spans="4:9" ht="12.75" x14ac:dyDescent="0.2">
      <c r="D452" s="12"/>
      <c r="E452" s="12"/>
      <c r="F452" s="6"/>
      <c r="G452" s="6"/>
      <c r="H452" s="6"/>
      <c r="I452" s="5"/>
    </row>
    <row r="453" spans="4:9" ht="12.75" x14ac:dyDescent="0.2">
      <c r="D453" s="12"/>
      <c r="E453" s="12"/>
      <c r="F453" s="6"/>
      <c r="G453" s="6"/>
      <c r="H453" s="6"/>
      <c r="I453" s="5"/>
    </row>
    <row r="454" spans="4:9" ht="12.75" x14ac:dyDescent="0.2">
      <c r="D454" s="12"/>
      <c r="E454" s="12"/>
      <c r="F454" s="6"/>
      <c r="G454" s="6"/>
      <c r="H454" s="6"/>
      <c r="I454" s="5"/>
    </row>
    <row r="455" spans="4:9" ht="12.75" x14ac:dyDescent="0.2">
      <c r="D455" s="12"/>
      <c r="E455" s="12"/>
      <c r="F455" s="6"/>
      <c r="G455" s="6"/>
      <c r="H455" s="6"/>
      <c r="I455" s="5"/>
    </row>
    <row r="456" spans="4:9" ht="12.75" x14ac:dyDescent="0.2">
      <c r="D456" s="12"/>
      <c r="E456" s="12"/>
      <c r="F456" s="6"/>
      <c r="G456" s="6"/>
      <c r="H456" s="6"/>
      <c r="I456" s="5"/>
    </row>
    <row r="457" spans="4:9" ht="12.75" x14ac:dyDescent="0.2">
      <c r="D457" s="12"/>
      <c r="E457" s="12"/>
      <c r="F457" s="6"/>
      <c r="G457" s="6"/>
      <c r="H457" s="6"/>
      <c r="I457" s="5"/>
    </row>
    <row r="458" spans="4:9" ht="12.75" x14ac:dyDescent="0.2">
      <c r="D458" s="12"/>
      <c r="E458" s="12"/>
      <c r="F458" s="6"/>
      <c r="G458" s="6"/>
      <c r="H458" s="6"/>
      <c r="I458" s="5"/>
    </row>
    <row r="459" spans="4:9" ht="12.75" x14ac:dyDescent="0.2">
      <c r="D459" s="12"/>
      <c r="E459" s="12"/>
      <c r="F459" s="6"/>
      <c r="G459" s="6"/>
      <c r="H459" s="6"/>
      <c r="I459" s="5"/>
    </row>
    <row r="460" spans="4:9" ht="12.75" x14ac:dyDescent="0.2">
      <c r="D460" s="12"/>
      <c r="E460" s="12"/>
      <c r="F460" s="6"/>
      <c r="G460" s="6"/>
      <c r="H460" s="6"/>
      <c r="I460" s="5"/>
    </row>
    <row r="461" spans="4:9" ht="12.75" x14ac:dyDescent="0.2">
      <c r="D461" s="12"/>
      <c r="E461" s="12"/>
      <c r="F461" s="6"/>
      <c r="G461" s="6"/>
      <c r="H461" s="6"/>
      <c r="I461" s="5"/>
    </row>
    <row r="462" spans="4:9" ht="12.75" x14ac:dyDescent="0.2">
      <c r="D462" s="12"/>
      <c r="E462" s="12"/>
      <c r="F462" s="6"/>
      <c r="G462" s="6"/>
      <c r="H462" s="6"/>
      <c r="I462" s="5"/>
    </row>
    <row r="463" spans="4:9" ht="12.75" x14ac:dyDescent="0.2">
      <c r="D463" s="12"/>
      <c r="E463" s="12"/>
      <c r="F463" s="6"/>
      <c r="G463" s="6"/>
      <c r="H463" s="6"/>
      <c r="I463" s="5"/>
    </row>
    <row r="464" spans="4:9" ht="12.75" x14ac:dyDescent="0.2">
      <c r="D464" s="12"/>
      <c r="E464" s="12"/>
      <c r="F464" s="6"/>
      <c r="G464" s="6"/>
      <c r="H464" s="6"/>
      <c r="I464" s="5"/>
    </row>
    <row r="465" spans="4:9" ht="12.75" x14ac:dyDescent="0.2">
      <c r="D465" s="12"/>
      <c r="E465" s="12"/>
      <c r="F465" s="6"/>
      <c r="G465" s="6"/>
      <c r="H465" s="6"/>
      <c r="I465" s="5"/>
    </row>
    <row r="466" spans="4:9" ht="12.75" x14ac:dyDescent="0.2">
      <c r="D466" s="12"/>
      <c r="E466" s="12"/>
      <c r="F466" s="6"/>
      <c r="G466" s="6"/>
      <c r="H466" s="6"/>
      <c r="I466" s="5"/>
    </row>
    <row r="467" spans="4:9" ht="12.75" x14ac:dyDescent="0.2">
      <c r="D467" s="12"/>
      <c r="E467" s="12"/>
      <c r="F467" s="6"/>
      <c r="G467" s="6"/>
      <c r="H467" s="6"/>
      <c r="I467" s="5"/>
    </row>
    <row r="468" spans="4:9" ht="12.75" x14ac:dyDescent="0.2">
      <c r="D468" s="12"/>
      <c r="E468" s="12"/>
    </row>
    <row r="469" spans="4:9" ht="12.75" x14ac:dyDescent="0.2">
      <c r="D469" s="12"/>
      <c r="E469" s="12"/>
    </row>
    <row r="470" spans="4:9" ht="12.75" x14ac:dyDescent="0.2">
      <c r="D470" s="12"/>
      <c r="E470" s="12"/>
    </row>
    <row r="471" spans="4:9" ht="12.75" x14ac:dyDescent="0.2">
      <c r="D471" s="12"/>
      <c r="E471" s="12"/>
    </row>
    <row r="472" spans="4:9" ht="12.75" x14ac:dyDescent="0.2">
      <c r="D472" s="12"/>
      <c r="E472" s="12"/>
    </row>
    <row r="473" spans="4:9" ht="12.75" x14ac:dyDescent="0.2">
      <c r="D473" s="12"/>
      <c r="E473" s="12"/>
    </row>
    <row r="474" spans="4:9" ht="12.75" x14ac:dyDescent="0.2">
      <c r="D474" s="12"/>
      <c r="E474" s="12"/>
    </row>
    <row r="475" spans="4:9" ht="12.75" x14ac:dyDescent="0.2">
      <c r="D475" s="12"/>
      <c r="E475" s="12"/>
    </row>
    <row r="476" spans="4:9" ht="12.75" x14ac:dyDescent="0.2">
      <c r="D476" s="12"/>
      <c r="E476" s="12"/>
    </row>
    <row r="477" spans="4:9" ht="12.75" x14ac:dyDescent="0.2">
      <c r="D477" s="12"/>
      <c r="E477" s="12"/>
    </row>
    <row r="478" spans="4:9" ht="12.75" x14ac:dyDescent="0.2">
      <c r="D478" s="12"/>
      <c r="E478" s="12"/>
    </row>
    <row r="479" spans="4:9" ht="12.75" x14ac:dyDescent="0.2">
      <c r="D479" s="12"/>
      <c r="E479" s="12"/>
    </row>
    <row r="480" spans="4:9" ht="12.75" x14ac:dyDescent="0.2">
      <c r="D480" s="12"/>
      <c r="E480" s="12"/>
    </row>
    <row r="481" spans="4:5" ht="12.75" x14ac:dyDescent="0.2">
      <c r="D481" s="12"/>
      <c r="E481" s="12"/>
    </row>
    <row r="482" spans="4:5" ht="12.75" x14ac:dyDescent="0.2">
      <c r="D482" s="12"/>
      <c r="E482" s="12"/>
    </row>
    <row r="483" spans="4:5" ht="12.75" x14ac:dyDescent="0.2">
      <c r="D483" s="12"/>
      <c r="E483" s="12"/>
    </row>
    <row r="484" spans="4:5" ht="12.75" x14ac:dyDescent="0.2">
      <c r="D484" s="12"/>
      <c r="E484" s="12"/>
    </row>
    <row r="485" spans="4:5" ht="12.75" x14ac:dyDescent="0.2">
      <c r="D485" s="12"/>
      <c r="E485" s="12"/>
    </row>
    <row r="486" spans="4:5" ht="12.75" x14ac:dyDescent="0.2">
      <c r="D486" s="12"/>
      <c r="E486" s="12"/>
    </row>
    <row r="487" spans="4:5" ht="12.75" x14ac:dyDescent="0.2">
      <c r="D487" s="12"/>
      <c r="E487" s="12"/>
    </row>
    <row r="488" spans="4:5" ht="12.75" x14ac:dyDescent="0.2">
      <c r="D488" s="12"/>
      <c r="E488" s="12"/>
    </row>
    <row r="489" spans="4:5" ht="12.75" x14ac:dyDescent="0.2">
      <c r="D489" s="12"/>
      <c r="E489" s="12"/>
    </row>
    <row r="490" spans="4:5" ht="12.75" x14ac:dyDescent="0.2">
      <c r="D490" s="12"/>
      <c r="E490" s="12"/>
    </row>
    <row r="491" spans="4:5" ht="12.75" x14ac:dyDescent="0.2">
      <c r="D491" s="12"/>
      <c r="E491" s="12"/>
    </row>
    <row r="492" spans="4:5" ht="12.75" x14ac:dyDescent="0.2">
      <c r="D492" s="12"/>
      <c r="E492" s="12"/>
    </row>
    <row r="493" spans="4:5" ht="12.75" x14ac:dyDescent="0.2">
      <c r="D493" s="12"/>
      <c r="E493" s="12"/>
    </row>
    <row r="494" spans="4:5" ht="12.75" x14ac:dyDescent="0.2">
      <c r="D494" s="12"/>
      <c r="E494" s="12"/>
    </row>
    <row r="495" spans="4:5" ht="12.75" x14ac:dyDescent="0.2">
      <c r="D495" s="12"/>
      <c r="E495" s="12"/>
    </row>
    <row r="496" spans="4:5" ht="12.75" x14ac:dyDescent="0.2">
      <c r="D496" s="12"/>
      <c r="E496" s="12"/>
    </row>
    <row r="497" spans="4:5" ht="12.75" x14ac:dyDescent="0.2">
      <c r="D497" s="12"/>
      <c r="E497" s="12"/>
    </row>
    <row r="498" spans="4:5" ht="12.75" x14ac:dyDescent="0.2">
      <c r="D498" s="12"/>
      <c r="E498" s="12"/>
    </row>
    <row r="499" spans="4:5" ht="12.75" x14ac:dyDescent="0.2">
      <c r="D499" s="12"/>
      <c r="E499" s="12"/>
    </row>
    <row r="500" spans="4:5" ht="12.75" x14ac:dyDescent="0.2">
      <c r="D500" s="12"/>
      <c r="E500" s="12"/>
    </row>
    <row r="501" spans="4:5" ht="12.75" x14ac:dyDescent="0.2">
      <c r="D501" s="12"/>
      <c r="E501" s="12"/>
    </row>
    <row r="502" spans="4:5" ht="12.75" x14ac:dyDescent="0.2">
      <c r="D502" s="12"/>
      <c r="E502" s="12"/>
    </row>
    <row r="503" spans="4:5" ht="12.75" x14ac:dyDescent="0.2">
      <c r="D503" s="12"/>
      <c r="E503" s="12"/>
    </row>
    <row r="504" spans="4:5" ht="12.75" x14ac:dyDescent="0.2">
      <c r="D504" s="12"/>
      <c r="E504" s="12"/>
    </row>
    <row r="505" spans="4:5" ht="12.75" x14ac:dyDescent="0.2">
      <c r="D505" s="12"/>
      <c r="E505" s="12"/>
    </row>
    <row r="506" spans="4:5" ht="12.75" x14ac:dyDescent="0.2">
      <c r="D506" s="12"/>
      <c r="E506" s="12"/>
    </row>
    <row r="507" spans="4:5" ht="12.75" x14ac:dyDescent="0.2">
      <c r="D507" s="12"/>
      <c r="E507" s="12"/>
    </row>
    <row r="508" spans="4:5" ht="12.75" x14ac:dyDescent="0.2">
      <c r="D508" s="12"/>
      <c r="E508" s="12"/>
    </row>
    <row r="509" spans="4:5" ht="12.75" x14ac:dyDescent="0.2">
      <c r="D509" s="12"/>
      <c r="E509" s="12"/>
    </row>
    <row r="510" spans="4:5" ht="12.75" x14ac:dyDescent="0.2">
      <c r="D510" s="12"/>
      <c r="E510" s="12"/>
    </row>
    <row r="511" spans="4:5" ht="12.75" x14ac:dyDescent="0.2">
      <c r="D511" s="12"/>
      <c r="E511" s="12"/>
    </row>
    <row r="512" spans="4:5" ht="12.75" x14ac:dyDescent="0.2">
      <c r="D512" s="12"/>
      <c r="E512" s="12"/>
    </row>
    <row r="513" spans="4:5" ht="12.75" x14ac:dyDescent="0.2">
      <c r="D513" s="12"/>
      <c r="E513" s="12"/>
    </row>
    <row r="514" spans="4:5" ht="12.75" x14ac:dyDescent="0.2">
      <c r="D514" s="12"/>
      <c r="E514" s="12"/>
    </row>
    <row r="515" spans="4:5" ht="12.75" x14ac:dyDescent="0.2">
      <c r="D515" s="12"/>
      <c r="E515" s="12"/>
    </row>
    <row r="516" spans="4:5" ht="12.75" x14ac:dyDescent="0.2">
      <c r="D516" s="12"/>
      <c r="E516" s="12"/>
    </row>
    <row r="517" spans="4:5" ht="12.75" x14ac:dyDescent="0.2">
      <c r="D517" s="12"/>
      <c r="E517" s="12"/>
    </row>
    <row r="518" spans="4:5" ht="12.75" x14ac:dyDescent="0.2">
      <c r="D518" s="12"/>
      <c r="E518" s="12"/>
    </row>
    <row r="519" spans="4:5" ht="12.75" x14ac:dyDescent="0.2">
      <c r="D519" s="12"/>
      <c r="E519" s="12"/>
    </row>
    <row r="520" spans="4:5" ht="12.75" x14ac:dyDescent="0.2">
      <c r="D520" s="12"/>
      <c r="E520" s="12"/>
    </row>
    <row r="521" spans="4:5" ht="12.75" x14ac:dyDescent="0.2">
      <c r="D521" s="12"/>
      <c r="E521" s="12"/>
    </row>
    <row r="522" spans="4:5" ht="12.75" x14ac:dyDescent="0.2">
      <c r="D522" s="12"/>
      <c r="E522" s="12"/>
    </row>
    <row r="523" spans="4:5" ht="12.75" x14ac:dyDescent="0.2">
      <c r="D523" s="12"/>
      <c r="E523" s="12"/>
    </row>
    <row r="524" spans="4:5" ht="12.75" x14ac:dyDescent="0.2">
      <c r="D524" s="12"/>
      <c r="E524" s="12"/>
    </row>
    <row r="525" spans="4:5" ht="12.75" x14ac:dyDescent="0.2">
      <c r="D525" s="12"/>
      <c r="E525" s="12"/>
    </row>
    <row r="526" spans="4:5" ht="12.75" x14ac:dyDescent="0.2">
      <c r="D526" s="12"/>
      <c r="E526" s="12"/>
    </row>
    <row r="527" spans="4:5" ht="12.75" x14ac:dyDescent="0.2">
      <c r="D527" s="12"/>
      <c r="E527" s="12"/>
    </row>
    <row r="528" spans="4:5" ht="12.75" x14ac:dyDescent="0.2">
      <c r="D528" s="12"/>
      <c r="E528" s="12"/>
    </row>
    <row r="529" spans="4:5" ht="12.75" x14ac:dyDescent="0.2">
      <c r="D529" s="12"/>
      <c r="E529" s="12"/>
    </row>
    <row r="530" spans="4:5" ht="12.75" x14ac:dyDescent="0.2">
      <c r="D530" s="12"/>
      <c r="E530" s="12"/>
    </row>
    <row r="531" spans="4:5" ht="12.75" x14ac:dyDescent="0.2">
      <c r="D531" s="12"/>
      <c r="E531" s="12"/>
    </row>
    <row r="532" spans="4:5" ht="12.75" x14ac:dyDescent="0.2">
      <c r="D532" s="12"/>
      <c r="E532" s="12"/>
    </row>
    <row r="533" spans="4:5" ht="12.75" x14ac:dyDescent="0.2">
      <c r="D533" s="12"/>
      <c r="E533" s="12"/>
    </row>
    <row r="534" spans="4:5" ht="12.75" x14ac:dyDescent="0.2">
      <c r="D534" s="12"/>
      <c r="E534" s="12"/>
    </row>
    <row r="535" spans="4:5" ht="12.75" x14ac:dyDescent="0.2">
      <c r="D535" s="12"/>
      <c r="E535" s="12"/>
    </row>
    <row r="536" spans="4:5" ht="12.75" x14ac:dyDescent="0.2">
      <c r="D536" s="12"/>
      <c r="E536" s="12"/>
    </row>
    <row r="537" spans="4:5" ht="12.75" x14ac:dyDescent="0.2">
      <c r="D537" s="12"/>
      <c r="E537" s="12"/>
    </row>
    <row r="538" spans="4:5" ht="12.75" x14ac:dyDescent="0.2">
      <c r="D538" s="12"/>
      <c r="E538" s="12"/>
    </row>
    <row r="539" spans="4:5" ht="12.75" x14ac:dyDescent="0.2">
      <c r="D539" s="12"/>
      <c r="E539" s="12"/>
    </row>
    <row r="540" spans="4:5" ht="12.75" x14ac:dyDescent="0.2">
      <c r="D540" s="12"/>
      <c r="E540" s="12"/>
    </row>
    <row r="541" spans="4:5" ht="12.75" x14ac:dyDescent="0.2">
      <c r="D541" s="12"/>
      <c r="E541" s="12"/>
    </row>
    <row r="542" spans="4:5" ht="12.75" x14ac:dyDescent="0.2">
      <c r="D542" s="12"/>
      <c r="E542" s="12"/>
    </row>
    <row r="543" spans="4:5" ht="12.75" x14ac:dyDescent="0.2">
      <c r="D543" s="12"/>
      <c r="E543" s="12"/>
    </row>
    <row r="544" spans="4:5" ht="12.75" x14ac:dyDescent="0.2">
      <c r="D544" s="12"/>
      <c r="E544" s="12"/>
    </row>
    <row r="545" spans="4:5" ht="12.75" x14ac:dyDescent="0.2">
      <c r="D545" s="12"/>
      <c r="E545" s="12"/>
    </row>
    <row r="546" spans="4:5" ht="12.75" x14ac:dyDescent="0.2">
      <c r="D546" s="12"/>
      <c r="E546" s="12"/>
    </row>
    <row r="547" spans="4:5" ht="12.75" x14ac:dyDescent="0.2">
      <c r="D547" s="12"/>
      <c r="E547" s="12"/>
    </row>
    <row r="548" spans="4:5" ht="12.75" x14ac:dyDescent="0.2">
      <c r="D548" s="12"/>
      <c r="E548" s="12"/>
    </row>
    <row r="549" spans="4:5" ht="12.75" x14ac:dyDescent="0.2">
      <c r="D549" s="12"/>
      <c r="E549" s="12"/>
    </row>
    <row r="550" spans="4:5" ht="12.75" x14ac:dyDescent="0.2">
      <c r="D550" s="12"/>
      <c r="E550" s="12"/>
    </row>
    <row r="551" spans="4:5" ht="12.75" x14ac:dyDescent="0.2">
      <c r="D551" s="12"/>
      <c r="E551" s="12"/>
    </row>
    <row r="552" spans="4:5" ht="12.75" x14ac:dyDescent="0.2">
      <c r="D552" s="12"/>
      <c r="E552" s="12"/>
    </row>
    <row r="553" spans="4:5" ht="12.75" x14ac:dyDescent="0.2">
      <c r="D553" s="12"/>
      <c r="E553" s="12"/>
    </row>
    <row r="554" spans="4:5" ht="12.75" x14ac:dyDescent="0.2">
      <c r="D554" s="12"/>
      <c r="E554" s="12"/>
    </row>
    <row r="555" spans="4:5" ht="12.75" x14ac:dyDescent="0.2">
      <c r="D555" s="12"/>
      <c r="E555" s="12"/>
    </row>
    <row r="556" spans="4:5" ht="12.75" x14ac:dyDescent="0.2">
      <c r="D556" s="12"/>
      <c r="E556" s="12"/>
    </row>
    <row r="557" spans="4:5" ht="12.75" x14ac:dyDescent="0.2">
      <c r="D557" s="12"/>
      <c r="E557" s="12"/>
    </row>
    <row r="558" spans="4:5" ht="12.75" x14ac:dyDescent="0.2">
      <c r="D558" s="12"/>
      <c r="E558" s="12"/>
    </row>
    <row r="559" spans="4:5" ht="12.75" x14ac:dyDescent="0.2">
      <c r="D559" s="12"/>
      <c r="E559" s="12"/>
    </row>
    <row r="560" spans="4:5" ht="12.75" x14ac:dyDescent="0.2">
      <c r="D560" s="12"/>
      <c r="E560" s="12"/>
    </row>
    <row r="561" spans="4:5" ht="12.75" x14ac:dyDescent="0.2">
      <c r="D561" s="12"/>
      <c r="E561" s="12"/>
    </row>
    <row r="562" spans="4:5" ht="12.75" x14ac:dyDescent="0.2">
      <c r="D562" s="12"/>
      <c r="E562" s="12"/>
    </row>
    <row r="563" spans="4:5" ht="12.75" x14ac:dyDescent="0.2">
      <c r="D563" s="12"/>
      <c r="E563" s="12"/>
    </row>
    <row r="564" spans="4:5" ht="12.75" x14ac:dyDescent="0.2">
      <c r="D564" s="12"/>
      <c r="E564" s="12"/>
    </row>
    <row r="565" spans="4:5" ht="12.75" x14ac:dyDescent="0.2">
      <c r="D565" s="12"/>
      <c r="E565" s="12"/>
    </row>
    <row r="566" spans="4:5" ht="12.75" x14ac:dyDescent="0.2">
      <c r="D566" s="12"/>
      <c r="E566" s="12"/>
    </row>
    <row r="567" spans="4:5" ht="12.75" x14ac:dyDescent="0.2">
      <c r="D567" s="12"/>
      <c r="E567" s="12"/>
    </row>
    <row r="568" spans="4:5" ht="12.75" x14ac:dyDescent="0.2">
      <c r="D568" s="12"/>
      <c r="E568" s="12"/>
    </row>
    <row r="569" spans="4:5" ht="12.75" x14ac:dyDescent="0.2">
      <c r="D569" s="12"/>
      <c r="E569" s="12"/>
    </row>
    <row r="570" spans="4:5" ht="12.75" x14ac:dyDescent="0.2">
      <c r="D570" s="12"/>
      <c r="E570" s="12"/>
    </row>
    <row r="571" spans="4:5" ht="12.75" x14ac:dyDescent="0.2">
      <c r="D571" s="12"/>
      <c r="E571" s="12"/>
    </row>
    <row r="572" spans="4:5" ht="12.75" x14ac:dyDescent="0.2">
      <c r="D572" s="12"/>
      <c r="E572" s="12"/>
    </row>
    <row r="573" spans="4:5" ht="12.75" x14ac:dyDescent="0.2">
      <c r="D573" s="12"/>
      <c r="E573" s="12"/>
    </row>
    <row r="574" spans="4:5" ht="12.75" x14ac:dyDescent="0.2">
      <c r="D574" s="12"/>
      <c r="E574" s="12"/>
    </row>
    <row r="575" spans="4:5" ht="12.75" x14ac:dyDescent="0.2">
      <c r="D575" s="12"/>
      <c r="E575" s="12"/>
    </row>
    <row r="576" spans="4:5" ht="12.75" x14ac:dyDescent="0.2">
      <c r="D576" s="12"/>
      <c r="E576" s="12"/>
    </row>
    <row r="577" spans="4:5" ht="12.75" x14ac:dyDescent="0.2">
      <c r="D577" s="12"/>
      <c r="E577" s="12"/>
    </row>
    <row r="578" spans="4:5" ht="12.75" x14ac:dyDescent="0.2">
      <c r="D578" s="12"/>
      <c r="E578" s="12"/>
    </row>
    <row r="579" spans="4:5" ht="12.75" x14ac:dyDescent="0.2">
      <c r="D579" s="12"/>
      <c r="E579" s="12"/>
    </row>
    <row r="580" spans="4:5" ht="12.75" x14ac:dyDescent="0.2">
      <c r="D580" s="12"/>
      <c r="E580" s="12"/>
    </row>
    <row r="581" spans="4:5" ht="12.75" x14ac:dyDescent="0.2">
      <c r="D581" s="12"/>
      <c r="E581" s="12"/>
    </row>
    <row r="582" spans="4:5" ht="12.75" x14ac:dyDescent="0.2">
      <c r="D582" s="12"/>
      <c r="E582" s="12"/>
    </row>
    <row r="583" spans="4:5" ht="12.75" x14ac:dyDescent="0.2">
      <c r="D583" s="12"/>
      <c r="E583" s="12"/>
    </row>
    <row r="584" spans="4:5" ht="12.75" x14ac:dyDescent="0.2">
      <c r="D584" s="12"/>
      <c r="E584" s="12"/>
    </row>
    <row r="585" spans="4:5" ht="12.75" x14ac:dyDescent="0.2">
      <c r="D585" s="12"/>
      <c r="E585" s="12"/>
    </row>
    <row r="586" spans="4:5" ht="12.75" x14ac:dyDescent="0.2">
      <c r="D586" s="12"/>
      <c r="E586" s="12"/>
    </row>
    <row r="587" spans="4:5" ht="12.75" x14ac:dyDescent="0.2">
      <c r="D587" s="12"/>
      <c r="E587" s="12"/>
    </row>
    <row r="588" spans="4:5" ht="12.75" x14ac:dyDescent="0.2">
      <c r="D588" s="12"/>
      <c r="E588" s="12"/>
    </row>
    <row r="589" spans="4:5" ht="12.75" x14ac:dyDescent="0.2">
      <c r="D589" s="12"/>
      <c r="E589" s="12"/>
    </row>
    <row r="590" spans="4:5" ht="12.75" x14ac:dyDescent="0.2">
      <c r="D590" s="12"/>
      <c r="E590" s="12"/>
    </row>
    <row r="591" spans="4:5" ht="12.75" x14ac:dyDescent="0.2">
      <c r="D591" s="12"/>
      <c r="E591" s="12"/>
    </row>
    <row r="592" spans="4:5" ht="12.75" x14ac:dyDescent="0.2">
      <c r="D592" s="12"/>
      <c r="E592" s="12"/>
    </row>
    <row r="593" spans="4:5" ht="12.75" x14ac:dyDescent="0.2">
      <c r="D593" s="12"/>
      <c r="E593" s="12"/>
    </row>
    <row r="594" spans="4:5" ht="12.75" x14ac:dyDescent="0.2">
      <c r="D594" s="12"/>
      <c r="E594" s="12"/>
    </row>
    <row r="595" spans="4:5" ht="12.75" x14ac:dyDescent="0.2">
      <c r="D595" s="12"/>
      <c r="E595" s="12"/>
    </row>
    <row r="596" spans="4:5" ht="12.75" x14ac:dyDescent="0.2">
      <c r="D596" s="12"/>
      <c r="E596" s="12"/>
    </row>
    <row r="597" spans="4:5" ht="12.75" x14ac:dyDescent="0.2">
      <c r="D597" s="12"/>
      <c r="E597" s="12"/>
    </row>
    <row r="598" spans="4:5" ht="12.75" x14ac:dyDescent="0.2">
      <c r="D598" s="12"/>
      <c r="E598" s="12"/>
    </row>
    <row r="599" spans="4:5" ht="12.75" x14ac:dyDescent="0.2">
      <c r="D599" s="12"/>
      <c r="E599" s="12"/>
    </row>
    <row r="600" spans="4:5" ht="12.75" x14ac:dyDescent="0.2">
      <c r="D600" s="12"/>
      <c r="E600" s="12"/>
    </row>
    <row r="601" spans="4:5" ht="12.75" x14ac:dyDescent="0.2">
      <c r="D601" s="12"/>
      <c r="E601" s="12"/>
    </row>
    <row r="602" spans="4:5" ht="12.75" x14ac:dyDescent="0.2">
      <c r="D602" s="12"/>
      <c r="E602" s="12"/>
    </row>
    <row r="603" spans="4:5" ht="12.75" x14ac:dyDescent="0.2">
      <c r="D603" s="12"/>
      <c r="E603" s="12"/>
    </row>
    <row r="604" spans="4:5" ht="12.75" x14ac:dyDescent="0.2">
      <c r="D604" s="12"/>
      <c r="E604" s="12"/>
    </row>
    <row r="605" spans="4:5" ht="12.75" x14ac:dyDescent="0.2">
      <c r="D605" s="12"/>
      <c r="E605" s="12"/>
    </row>
    <row r="606" spans="4:5" ht="12.75" x14ac:dyDescent="0.2">
      <c r="D606" s="12"/>
      <c r="E606" s="12"/>
    </row>
    <row r="607" spans="4:5" ht="12.75" x14ac:dyDescent="0.2">
      <c r="D607" s="12"/>
      <c r="E607" s="12"/>
    </row>
    <row r="608" spans="4:5" ht="12.75" x14ac:dyDescent="0.2">
      <c r="D608" s="12"/>
      <c r="E608" s="12"/>
    </row>
    <row r="609" spans="4:5" ht="12.75" x14ac:dyDescent="0.2">
      <c r="D609" s="12"/>
      <c r="E609" s="12"/>
    </row>
    <row r="610" spans="4:5" ht="12.75" x14ac:dyDescent="0.2">
      <c r="D610" s="12"/>
      <c r="E610" s="12"/>
    </row>
    <row r="611" spans="4:5" ht="12.75" x14ac:dyDescent="0.2">
      <c r="D611" s="12"/>
      <c r="E611" s="12"/>
    </row>
    <row r="612" spans="4:5" ht="12.75" x14ac:dyDescent="0.2">
      <c r="D612" s="12"/>
      <c r="E612" s="12"/>
    </row>
    <row r="613" spans="4:5" ht="12.75" x14ac:dyDescent="0.2">
      <c r="D613" s="12"/>
      <c r="E613" s="12"/>
    </row>
    <row r="614" spans="4:5" ht="12.75" x14ac:dyDescent="0.2">
      <c r="D614" s="12"/>
      <c r="E614" s="12"/>
    </row>
    <row r="615" spans="4:5" ht="12.75" x14ac:dyDescent="0.2">
      <c r="D615" s="12"/>
      <c r="E615" s="12"/>
    </row>
    <row r="616" spans="4:5" ht="12.75" x14ac:dyDescent="0.2">
      <c r="D616" s="12"/>
      <c r="E616" s="12"/>
    </row>
    <row r="617" spans="4:5" ht="12.75" x14ac:dyDescent="0.2">
      <c r="D617" s="12"/>
      <c r="E617" s="12"/>
    </row>
    <row r="618" spans="4:5" ht="12.75" x14ac:dyDescent="0.2">
      <c r="D618" s="12"/>
      <c r="E618" s="12"/>
    </row>
    <row r="619" spans="4:5" ht="12.75" x14ac:dyDescent="0.2">
      <c r="D619" s="12"/>
      <c r="E619" s="12"/>
    </row>
    <row r="620" spans="4:5" ht="12.75" x14ac:dyDescent="0.2">
      <c r="D620" s="12"/>
      <c r="E620" s="12"/>
    </row>
    <row r="621" spans="4:5" ht="12.75" x14ac:dyDescent="0.2">
      <c r="D621" s="12"/>
      <c r="E621" s="12"/>
    </row>
    <row r="622" spans="4:5" ht="12.75" x14ac:dyDescent="0.2">
      <c r="D622" s="12"/>
      <c r="E622" s="12"/>
    </row>
    <row r="623" spans="4:5" ht="12.75" x14ac:dyDescent="0.2">
      <c r="D623" s="12"/>
      <c r="E623" s="12"/>
    </row>
    <row r="624" spans="4:5" ht="12.75" x14ac:dyDescent="0.2">
      <c r="D624" s="12"/>
      <c r="E624" s="12"/>
    </row>
    <row r="625" spans="4:5" ht="12.75" x14ac:dyDescent="0.2">
      <c r="D625" s="12"/>
      <c r="E625" s="12"/>
    </row>
    <row r="626" spans="4:5" ht="12.75" x14ac:dyDescent="0.2">
      <c r="D626" s="12"/>
      <c r="E626" s="12"/>
    </row>
    <row r="627" spans="4:5" ht="12.75" x14ac:dyDescent="0.2">
      <c r="D627" s="12"/>
      <c r="E627" s="12"/>
    </row>
    <row r="628" spans="4:5" ht="12.75" x14ac:dyDescent="0.2">
      <c r="D628" s="12"/>
      <c r="E628" s="12"/>
    </row>
    <row r="629" spans="4:5" ht="12.75" x14ac:dyDescent="0.2">
      <c r="D629" s="12"/>
      <c r="E629" s="12"/>
    </row>
    <row r="630" spans="4:5" ht="12.75" x14ac:dyDescent="0.2">
      <c r="D630" s="12"/>
      <c r="E630" s="12"/>
    </row>
    <row r="631" spans="4:5" ht="12.75" x14ac:dyDescent="0.2">
      <c r="D631" s="12"/>
      <c r="E631" s="12"/>
    </row>
    <row r="632" spans="4:5" ht="12.75" x14ac:dyDescent="0.2">
      <c r="D632" s="12"/>
      <c r="E632" s="12"/>
    </row>
    <row r="633" spans="4:5" ht="12.75" x14ac:dyDescent="0.2">
      <c r="D633" s="12"/>
      <c r="E633" s="12"/>
    </row>
    <row r="634" spans="4:5" ht="12.75" x14ac:dyDescent="0.2">
      <c r="D634" s="12"/>
      <c r="E634" s="12"/>
    </row>
    <row r="635" spans="4:5" ht="12.75" x14ac:dyDescent="0.2">
      <c r="D635" s="12"/>
      <c r="E635" s="12"/>
    </row>
    <row r="636" spans="4:5" ht="12.75" x14ac:dyDescent="0.2">
      <c r="D636" s="12"/>
      <c r="E636" s="12"/>
    </row>
    <row r="637" spans="4:5" ht="12.75" x14ac:dyDescent="0.2">
      <c r="D637" s="12"/>
      <c r="E637" s="12"/>
    </row>
    <row r="638" spans="4:5" ht="12.75" x14ac:dyDescent="0.2">
      <c r="D638" s="12"/>
      <c r="E638" s="12"/>
    </row>
    <row r="639" spans="4:5" ht="12.75" x14ac:dyDescent="0.2">
      <c r="D639" s="12"/>
      <c r="E639" s="12"/>
    </row>
    <row r="640" spans="4:5" ht="12.75" x14ac:dyDescent="0.2">
      <c r="D640" s="12"/>
      <c r="E640" s="12"/>
    </row>
    <row r="641" spans="4:5" ht="12.75" x14ac:dyDescent="0.2">
      <c r="D641" s="12"/>
      <c r="E641" s="12"/>
    </row>
    <row r="642" spans="4:5" ht="12.75" x14ac:dyDescent="0.2">
      <c r="D642" s="12"/>
      <c r="E642" s="12"/>
    </row>
    <row r="643" spans="4:5" ht="12.75" x14ac:dyDescent="0.2">
      <c r="D643" s="12"/>
      <c r="E643" s="12"/>
    </row>
    <row r="644" spans="4:5" ht="12.75" x14ac:dyDescent="0.2">
      <c r="D644" s="12"/>
      <c r="E644" s="12"/>
    </row>
    <row r="645" spans="4:5" ht="12.75" x14ac:dyDescent="0.2">
      <c r="D645" s="12"/>
      <c r="E645" s="12"/>
    </row>
    <row r="646" spans="4:5" ht="12.75" x14ac:dyDescent="0.2">
      <c r="D646" s="12"/>
      <c r="E646" s="12"/>
    </row>
    <row r="647" spans="4:5" ht="12.75" x14ac:dyDescent="0.2">
      <c r="D647" s="12"/>
      <c r="E647" s="12"/>
    </row>
    <row r="648" spans="4:5" ht="12.75" x14ac:dyDescent="0.2">
      <c r="D648" s="12"/>
      <c r="E648" s="12"/>
    </row>
    <row r="649" spans="4:5" ht="12.75" x14ac:dyDescent="0.2">
      <c r="D649" s="12"/>
      <c r="E649" s="12"/>
    </row>
    <row r="650" spans="4:5" ht="12.75" x14ac:dyDescent="0.2">
      <c r="D650" s="12"/>
      <c r="E650" s="12"/>
    </row>
    <row r="651" spans="4:5" ht="12.75" x14ac:dyDescent="0.2">
      <c r="D651" s="12"/>
      <c r="E651" s="12"/>
    </row>
    <row r="652" spans="4:5" ht="12.75" x14ac:dyDescent="0.2">
      <c r="D652" s="12"/>
      <c r="E652" s="12"/>
    </row>
    <row r="653" spans="4:5" ht="12.75" x14ac:dyDescent="0.2">
      <c r="D653" s="12"/>
      <c r="E653" s="12"/>
    </row>
    <row r="654" spans="4:5" ht="12.75" x14ac:dyDescent="0.2">
      <c r="D654" s="12"/>
      <c r="E654" s="12"/>
    </row>
    <row r="655" spans="4:5" ht="12.75" x14ac:dyDescent="0.2">
      <c r="D655" s="12"/>
      <c r="E655" s="12"/>
    </row>
    <row r="656" spans="4:5" ht="12.75" x14ac:dyDescent="0.2">
      <c r="D656" s="12"/>
      <c r="E656" s="12"/>
    </row>
    <row r="657" spans="4:5" ht="12.75" x14ac:dyDescent="0.2">
      <c r="D657" s="12"/>
      <c r="E657" s="12"/>
    </row>
    <row r="658" spans="4:5" ht="12.75" x14ac:dyDescent="0.2">
      <c r="D658" s="12"/>
      <c r="E658" s="12"/>
    </row>
    <row r="659" spans="4:5" ht="12.75" x14ac:dyDescent="0.2">
      <c r="D659" s="12"/>
      <c r="E659" s="12"/>
    </row>
    <row r="660" spans="4:5" ht="12.75" x14ac:dyDescent="0.2">
      <c r="D660" s="12"/>
      <c r="E660" s="12"/>
    </row>
    <row r="661" spans="4:5" ht="12.75" x14ac:dyDescent="0.2">
      <c r="D661" s="12"/>
      <c r="E661" s="12"/>
    </row>
    <row r="662" spans="4:5" ht="12.75" x14ac:dyDescent="0.2">
      <c r="D662" s="12"/>
      <c r="E662" s="12"/>
    </row>
    <row r="663" spans="4:5" ht="12.75" x14ac:dyDescent="0.2">
      <c r="D663" s="12"/>
      <c r="E663" s="12"/>
    </row>
    <row r="664" spans="4:5" ht="12.75" x14ac:dyDescent="0.2">
      <c r="D664" s="12"/>
      <c r="E664" s="12"/>
    </row>
    <row r="665" spans="4:5" ht="12.75" x14ac:dyDescent="0.2">
      <c r="D665" s="12"/>
      <c r="E665" s="12"/>
    </row>
    <row r="666" spans="4:5" ht="12.75" x14ac:dyDescent="0.2">
      <c r="D666" s="12"/>
      <c r="E666" s="12"/>
    </row>
    <row r="667" spans="4:5" ht="12.75" x14ac:dyDescent="0.2">
      <c r="D667" s="12"/>
      <c r="E667" s="12"/>
    </row>
    <row r="668" spans="4:5" ht="12.75" x14ac:dyDescent="0.2">
      <c r="D668" s="12"/>
      <c r="E668" s="12"/>
    </row>
    <row r="669" spans="4:5" ht="12.75" x14ac:dyDescent="0.2">
      <c r="D669" s="12"/>
      <c r="E669" s="12"/>
    </row>
    <row r="670" spans="4:5" ht="12.75" x14ac:dyDescent="0.2">
      <c r="D670" s="12"/>
      <c r="E670" s="12"/>
    </row>
    <row r="671" spans="4:5" ht="12.75" x14ac:dyDescent="0.2">
      <c r="D671" s="12"/>
      <c r="E671" s="12"/>
    </row>
    <row r="672" spans="4:5" ht="12.75" x14ac:dyDescent="0.2">
      <c r="D672" s="12"/>
      <c r="E672" s="12"/>
    </row>
    <row r="673" spans="4:5" ht="12.75" x14ac:dyDescent="0.2">
      <c r="D673" s="12"/>
      <c r="E673" s="12"/>
    </row>
    <row r="674" spans="4:5" ht="12.75" x14ac:dyDescent="0.2">
      <c r="D674" s="12"/>
      <c r="E674" s="12"/>
    </row>
    <row r="675" spans="4:5" ht="12.75" x14ac:dyDescent="0.2">
      <c r="D675" s="12"/>
      <c r="E675" s="12"/>
    </row>
    <row r="676" spans="4:5" ht="12.75" x14ac:dyDescent="0.2">
      <c r="D676" s="12"/>
      <c r="E676" s="12"/>
    </row>
    <row r="677" spans="4:5" ht="12.75" x14ac:dyDescent="0.2">
      <c r="D677" s="12"/>
      <c r="E677" s="12"/>
    </row>
    <row r="678" spans="4:5" ht="12.75" x14ac:dyDescent="0.2">
      <c r="D678" s="12"/>
      <c r="E678" s="12"/>
    </row>
    <row r="679" spans="4:5" ht="12.75" x14ac:dyDescent="0.2">
      <c r="D679" s="12"/>
      <c r="E679" s="12"/>
    </row>
    <row r="680" spans="4:5" ht="12.75" x14ac:dyDescent="0.2">
      <c r="D680" s="12"/>
      <c r="E680" s="12"/>
    </row>
    <row r="681" spans="4:5" ht="12.75" x14ac:dyDescent="0.2">
      <c r="D681" s="12"/>
      <c r="E681" s="12"/>
    </row>
    <row r="682" spans="4:5" ht="12.75" x14ac:dyDescent="0.2">
      <c r="D682" s="12"/>
      <c r="E682" s="12"/>
    </row>
    <row r="683" spans="4:5" ht="12.75" x14ac:dyDescent="0.2">
      <c r="D683" s="12"/>
      <c r="E683" s="12"/>
    </row>
    <row r="684" spans="4:5" ht="12.75" x14ac:dyDescent="0.2">
      <c r="D684" s="12"/>
      <c r="E684" s="12"/>
    </row>
    <row r="685" spans="4:5" ht="12.75" x14ac:dyDescent="0.2">
      <c r="D685" s="12"/>
      <c r="E685" s="12"/>
    </row>
    <row r="686" spans="4:5" ht="12.75" x14ac:dyDescent="0.2">
      <c r="D686" s="12"/>
      <c r="E686" s="12"/>
    </row>
    <row r="687" spans="4:5" ht="12.75" x14ac:dyDescent="0.2">
      <c r="D687" s="12"/>
      <c r="E687" s="12"/>
    </row>
    <row r="688" spans="4:5" ht="12.75" x14ac:dyDescent="0.2">
      <c r="D688" s="12"/>
      <c r="E688" s="12"/>
    </row>
    <row r="689" spans="4:5" ht="12.75" x14ac:dyDescent="0.2">
      <c r="D689" s="12"/>
      <c r="E689" s="12"/>
    </row>
    <row r="690" spans="4:5" ht="12.75" x14ac:dyDescent="0.2">
      <c r="D690" s="12"/>
      <c r="E690" s="12"/>
    </row>
    <row r="691" spans="4:5" ht="12.75" x14ac:dyDescent="0.2">
      <c r="D691" s="12"/>
      <c r="E691" s="12"/>
    </row>
    <row r="692" spans="4:5" ht="12.75" x14ac:dyDescent="0.2">
      <c r="D692" s="12"/>
      <c r="E692" s="12"/>
    </row>
    <row r="693" spans="4:5" ht="12.75" x14ac:dyDescent="0.2">
      <c r="D693" s="12"/>
      <c r="E693" s="12"/>
    </row>
    <row r="694" spans="4:5" ht="12.75" x14ac:dyDescent="0.2">
      <c r="D694" s="12"/>
      <c r="E694" s="12"/>
    </row>
    <row r="695" spans="4:5" ht="12.75" x14ac:dyDescent="0.2">
      <c r="D695" s="12"/>
      <c r="E695" s="12"/>
    </row>
    <row r="696" spans="4:5" ht="12.75" x14ac:dyDescent="0.2">
      <c r="D696" s="12"/>
      <c r="E696" s="12"/>
    </row>
    <row r="697" spans="4:5" ht="12.75" x14ac:dyDescent="0.2">
      <c r="D697" s="12"/>
      <c r="E697" s="12"/>
    </row>
    <row r="698" spans="4:5" ht="12.75" x14ac:dyDescent="0.2">
      <c r="D698" s="12"/>
      <c r="E698" s="12"/>
    </row>
    <row r="699" spans="4:5" ht="12.75" x14ac:dyDescent="0.2">
      <c r="D699" s="12"/>
      <c r="E699" s="12"/>
    </row>
    <row r="700" spans="4:5" ht="12.75" x14ac:dyDescent="0.2">
      <c r="D700" s="12"/>
      <c r="E700" s="12"/>
    </row>
    <row r="701" spans="4:5" ht="12.75" x14ac:dyDescent="0.2">
      <c r="D701" s="12"/>
      <c r="E701" s="12"/>
    </row>
    <row r="702" spans="4:5" ht="12.75" x14ac:dyDescent="0.2">
      <c r="D702" s="12"/>
      <c r="E702" s="12"/>
    </row>
    <row r="703" spans="4:5" ht="12.75" x14ac:dyDescent="0.2">
      <c r="D703" s="12"/>
      <c r="E703" s="12"/>
    </row>
    <row r="704" spans="4:5" ht="12.75" x14ac:dyDescent="0.2">
      <c r="D704" s="12"/>
      <c r="E704" s="12"/>
    </row>
    <row r="705" spans="4:5" ht="12.75" x14ac:dyDescent="0.2">
      <c r="D705" s="12"/>
      <c r="E705" s="12"/>
    </row>
    <row r="706" spans="4:5" ht="12.75" x14ac:dyDescent="0.2">
      <c r="D706" s="12"/>
      <c r="E706" s="12"/>
    </row>
    <row r="707" spans="4:5" ht="12.75" x14ac:dyDescent="0.2">
      <c r="D707" s="12"/>
      <c r="E707" s="12"/>
    </row>
    <row r="708" spans="4:5" ht="12.75" x14ac:dyDescent="0.2">
      <c r="D708" s="12"/>
      <c r="E708" s="12"/>
    </row>
    <row r="709" spans="4:5" ht="12.75" x14ac:dyDescent="0.2">
      <c r="D709" s="12"/>
      <c r="E709" s="12"/>
    </row>
    <row r="710" spans="4:5" ht="12.75" x14ac:dyDescent="0.2">
      <c r="D710" s="12"/>
      <c r="E710" s="12"/>
    </row>
    <row r="711" spans="4:5" ht="12.75" x14ac:dyDescent="0.2">
      <c r="D711" s="12"/>
      <c r="E711" s="12"/>
    </row>
    <row r="712" spans="4:5" ht="12.75" x14ac:dyDescent="0.2">
      <c r="D712" s="12"/>
      <c r="E712" s="12"/>
    </row>
    <row r="713" spans="4:5" ht="12.75" x14ac:dyDescent="0.2">
      <c r="D713" s="12"/>
      <c r="E713" s="12"/>
    </row>
    <row r="714" spans="4:5" ht="12.75" x14ac:dyDescent="0.2">
      <c r="D714" s="12"/>
      <c r="E714" s="12"/>
    </row>
    <row r="715" spans="4:5" ht="12.75" x14ac:dyDescent="0.2">
      <c r="D715" s="12"/>
      <c r="E715" s="12"/>
    </row>
    <row r="716" spans="4:5" ht="12.75" x14ac:dyDescent="0.2">
      <c r="D716" s="12"/>
      <c r="E716" s="12"/>
    </row>
    <row r="717" spans="4:5" ht="12.75" x14ac:dyDescent="0.2">
      <c r="D717" s="12"/>
      <c r="E717" s="12"/>
    </row>
    <row r="718" spans="4:5" ht="12.75" x14ac:dyDescent="0.2">
      <c r="D718" s="12"/>
      <c r="E718" s="12"/>
    </row>
    <row r="719" spans="4:5" ht="12.75" x14ac:dyDescent="0.2">
      <c r="D719" s="12"/>
      <c r="E719" s="12"/>
    </row>
    <row r="720" spans="4:5" ht="12.75" x14ac:dyDescent="0.2">
      <c r="D720" s="12"/>
      <c r="E720" s="12"/>
    </row>
    <row r="721" spans="4:5" ht="12.75" x14ac:dyDescent="0.2">
      <c r="D721" s="12"/>
      <c r="E721" s="12"/>
    </row>
    <row r="722" spans="4:5" ht="12.75" x14ac:dyDescent="0.2">
      <c r="D722" s="12"/>
      <c r="E722" s="12"/>
    </row>
    <row r="723" spans="4:5" ht="12.75" x14ac:dyDescent="0.2">
      <c r="D723" s="12"/>
      <c r="E723" s="12"/>
    </row>
    <row r="724" spans="4:5" ht="12.75" x14ac:dyDescent="0.2">
      <c r="D724" s="12"/>
      <c r="E724" s="12"/>
    </row>
    <row r="725" spans="4:5" ht="12.75" x14ac:dyDescent="0.2">
      <c r="D725" s="12"/>
      <c r="E725" s="12"/>
    </row>
    <row r="726" spans="4:5" ht="12.75" x14ac:dyDescent="0.2">
      <c r="D726" s="12"/>
      <c r="E726" s="12"/>
    </row>
    <row r="727" spans="4:5" ht="12.75" x14ac:dyDescent="0.2">
      <c r="D727" s="12"/>
      <c r="E727" s="12"/>
    </row>
    <row r="728" spans="4:5" ht="12.75" x14ac:dyDescent="0.2">
      <c r="D728" s="12"/>
      <c r="E728" s="12"/>
    </row>
    <row r="729" spans="4:5" ht="12.75" x14ac:dyDescent="0.2">
      <c r="D729" s="12"/>
      <c r="E729" s="12"/>
    </row>
    <row r="730" spans="4:5" ht="12.75" x14ac:dyDescent="0.2">
      <c r="D730" s="12"/>
      <c r="E730" s="12"/>
    </row>
    <row r="731" spans="4:5" ht="12.75" x14ac:dyDescent="0.2">
      <c r="D731" s="12"/>
      <c r="E731" s="12"/>
    </row>
    <row r="732" spans="4:5" ht="12.75" x14ac:dyDescent="0.2">
      <c r="D732" s="12"/>
      <c r="E732" s="12"/>
    </row>
    <row r="733" spans="4:5" ht="12.75" x14ac:dyDescent="0.2">
      <c r="D733" s="12"/>
      <c r="E733" s="12"/>
    </row>
    <row r="734" spans="4:5" ht="12.75" x14ac:dyDescent="0.2">
      <c r="D734" s="12"/>
      <c r="E734" s="12"/>
    </row>
    <row r="735" spans="4:5" ht="12.75" x14ac:dyDescent="0.2">
      <c r="D735" s="12"/>
      <c r="E735" s="12"/>
    </row>
    <row r="736" spans="4:5" ht="12.75" x14ac:dyDescent="0.2">
      <c r="D736" s="12"/>
      <c r="E736" s="12"/>
    </row>
    <row r="737" spans="4:5" ht="12.75" x14ac:dyDescent="0.2">
      <c r="D737" s="12"/>
      <c r="E737" s="12"/>
    </row>
    <row r="738" spans="4:5" ht="12.75" x14ac:dyDescent="0.2">
      <c r="D738" s="12"/>
      <c r="E738" s="12"/>
    </row>
    <row r="739" spans="4:5" ht="12.75" x14ac:dyDescent="0.2">
      <c r="D739" s="12"/>
      <c r="E739" s="12"/>
    </row>
    <row r="740" spans="4:5" ht="12.75" x14ac:dyDescent="0.2">
      <c r="D740" s="12"/>
      <c r="E740" s="12"/>
    </row>
    <row r="741" spans="4:5" ht="12.75" x14ac:dyDescent="0.2">
      <c r="D741" s="12"/>
      <c r="E741" s="12"/>
    </row>
    <row r="742" spans="4:5" ht="12.75" x14ac:dyDescent="0.2">
      <c r="D742" s="12"/>
      <c r="E742" s="12"/>
    </row>
    <row r="743" spans="4:5" ht="12.75" x14ac:dyDescent="0.2">
      <c r="D743" s="12"/>
      <c r="E743" s="12"/>
    </row>
    <row r="744" spans="4:5" ht="12.75" x14ac:dyDescent="0.2">
      <c r="D744" s="12"/>
      <c r="E744" s="12"/>
    </row>
    <row r="745" spans="4:5" ht="12.75" x14ac:dyDescent="0.2">
      <c r="D745" s="12"/>
      <c r="E745" s="12"/>
    </row>
    <row r="746" spans="4:5" ht="12.75" x14ac:dyDescent="0.2">
      <c r="D746" s="12"/>
      <c r="E746" s="12"/>
    </row>
    <row r="747" spans="4:5" ht="12.75" x14ac:dyDescent="0.2">
      <c r="D747" s="12"/>
      <c r="E747" s="12"/>
    </row>
    <row r="748" spans="4:5" ht="12.75" x14ac:dyDescent="0.2">
      <c r="D748" s="12"/>
      <c r="E748" s="12"/>
    </row>
    <row r="749" spans="4:5" ht="12.75" x14ac:dyDescent="0.2">
      <c r="D749" s="12"/>
      <c r="E749" s="12"/>
    </row>
    <row r="750" spans="4:5" ht="12.75" x14ac:dyDescent="0.2">
      <c r="D750" s="12"/>
      <c r="E750" s="12"/>
    </row>
    <row r="751" spans="4:5" ht="12.75" x14ac:dyDescent="0.2">
      <c r="D751" s="12"/>
      <c r="E751" s="12"/>
    </row>
    <row r="752" spans="4:5" ht="12.75" x14ac:dyDescent="0.2">
      <c r="D752" s="12"/>
      <c r="E752" s="12"/>
    </row>
    <row r="753" spans="4:5" ht="12.75" x14ac:dyDescent="0.2">
      <c r="D753" s="12"/>
      <c r="E753" s="12"/>
    </row>
    <row r="754" spans="4:5" ht="12.75" x14ac:dyDescent="0.2">
      <c r="D754" s="12"/>
      <c r="E754" s="12"/>
    </row>
    <row r="755" spans="4:5" ht="12.75" x14ac:dyDescent="0.2">
      <c r="D755" s="12"/>
      <c r="E755" s="12"/>
    </row>
    <row r="756" spans="4:5" ht="12.75" x14ac:dyDescent="0.2">
      <c r="D756" s="12"/>
      <c r="E756" s="12"/>
    </row>
    <row r="757" spans="4:5" ht="12.75" x14ac:dyDescent="0.2">
      <c r="D757" s="12"/>
      <c r="E757" s="12"/>
    </row>
    <row r="758" spans="4:5" ht="12.75" x14ac:dyDescent="0.2">
      <c r="D758" s="12"/>
      <c r="E758" s="12"/>
    </row>
    <row r="759" spans="4:5" ht="12.75" x14ac:dyDescent="0.2">
      <c r="D759" s="12"/>
      <c r="E759" s="12"/>
    </row>
    <row r="760" spans="4:5" ht="12.75" x14ac:dyDescent="0.2">
      <c r="D760" s="12"/>
      <c r="E760" s="12"/>
    </row>
    <row r="761" spans="4:5" ht="12.75" x14ac:dyDescent="0.2">
      <c r="D761" s="12"/>
      <c r="E761" s="12"/>
    </row>
    <row r="762" spans="4:5" ht="12.75" x14ac:dyDescent="0.2">
      <c r="D762" s="12"/>
      <c r="E762" s="12"/>
    </row>
    <row r="763" spans="4:5" ht="12.75" x14ac:dyDescent="0.2">
      <c r="D763" s="12"/>
      <c r="E763" s="12"/>
    </row>
    <row r="764" spans="4:5" ht="12.75" x14ac:dyDescent="0.2">
      <c r="D764" s="12"/>
      <c r="E764" s="12"/>
    </row>
    <row r="765" spans="4:5" ht="12.75" x14ac:dyDescent="0.2">
      <c r="D765" s="12"/>
      <c r="E765" s="12"/>
    </row>
    <row r="766" spans="4:5" ht="12.75" x14ac:dyDescent="0.2">
      <c r="D766" s="12"/>
      <c r="E766" s="12"/>
    </row>
    <row r="767" spans="4:5" ht="12.75" x14ac:dyDescent="0.2">
      <c r="D767" s="12"/>
      <c r="E767" s="12"/>
    </row>
    <row r="768" spans="4:5" ht="12.75" x14ac:dyDescent="0.2">
      <c r="D768" s="12"/>
      <c r="E768" s="12"/>
    </row>
    <row r="769" spans="4:5" ht="12.75" x14ac:dyDescent="0.2">
      <c r="D769" s="12"/>
      <c r="E769" s="12"/>
    </row>
    <row r="770" spans="4:5" ht="12.75" x14ac:dyDescent="0.2">
      <c r="D770" s="12"/>
      <c r="E770" s="12"/>
    </row>
    <row r="771" spans="4:5" ht="12.75" x14ac:dyDescent="0.2">
      <c r="D771" s="12"/>
      <c r="E771" s="12"/>
    </row>
    <row r="772" spans="4:5" ht="12.75" x14ac:dyDescent="0.2">
      <c r="D772" s="12"/>
      <c r="E772" s="12"/>
    </row>
    <row r="773" spans="4:5" ht="12.75" x14ac:dyDescent="0.2">
      <c r="D773" s="12"/>
      <c r="E773" s="12"/>
    </row>
    <row r="774" spans="4:5" ht="12.75" x14ac:dyDescent="0.2">
      <c r="D774" s="12"/>
      <c r="E774" s="12"/>
    </row>
    <row r="775" spans="4:5" ht="12.75" x14ac:dyDescent="0.2">
      <c r="D775" s="12"/>
      <c r="E775" s="12"/>
    </row>
    <row r="776" spans="4:5" ht="12.75" x14ac:dyDescent="0.2">
      <c r="D776" s="12"/>
      <c r="E776" s="12"/>
    </row>
    <row r="777" spans="4:5" ht="12.75" x14ac:dyDescent="0.2">
      <c r="D777" s="12"/>
      <c r="E777" s="12"/>
    </row>
    <row r="778" spans="4:5" ht="12.75" x14ac:dyDescent="0.2">
      <c r="D778" s="12"/>
      <c r="E778" s="12"/>
    </row>
    <row r="779" spans="4:5" ht="12.75" x14ac:dyDescent="0.2">
      <c r="D779" s="12"/>
      <c r="E779" s="12"/>
    </row>
    <row r="780" spans="4:5" ht="12.75" x14ac:dyDescent="0.2">
      <c r="D780" s="12"/>
      <c r="E780" s="12"/>
    </row>
    <row r="781" spans="4:5" ht="12.75" x14ac:dyDescent="0.2">
      <c r="D781" s="12"/>
      <c r="E781" s="12"/>
    </row>
    <row r="782" spans="4:5" ht="12.75" x14ac:dyDescent="0.2">
      <c r="D782" s="12"/>
      <c r="E782" s="12"/>
    </row>
    <row r="783" spans="4:5" ht="12.75" x14ac:dyDescent="0.2">
      <c r="D783" s="12"/>
      <c r="E783" s="12"/>
    </row>
    <row r="784" spans="4:5" ht="12.75" x14ac:dyDescent="0.2">
      <c r="D784" s="12"/>
      <c r="E784" s="12"/>
    </row>
    <row r="785" spans="4:5" ht="12.75" x14ac:dyDescent="0.2">
      <c r="D785" s="12"/>
      <c r="E785" s="12"/>
    </row>
    <row r="786" spans="4:5" ht="12.75" x14ac:dyDescent="0.2">
      <c r="D786" s="12"/>
      <c r="E786" s="12"/>
    </row>
    <row r="787" spans="4:5" ht="12.75" x14ac:dyDescent="0.2">
      <c r="D787" s="12"/>
      <c r="E787" s="12"/>
    </row>
    <row r="788" spans="4:5" ht="12.75" x14ac:dyDescent="0.2">
      <c r="D788" s="12"/>
      <c r="E788" s="12"/>
    </row>
    <row r="789" spans="4:5" ht="12.75" x14ac:dyDescent="0.2">
      <c r="D789" s="12"/>
      <c r="E789" s="12"/>
    </row>
    <row r="790" spans="4:5" ht="12.75" x14ac:dyDescent="0.2">
      <c r="D790" s="12"/>
      <c r="E790" s="12"/>
    </row>
    <row r="791" spans="4:5" ht="12.75" x14ac:dyDescent="0.2">
      <c r="D791" s="12"/>
      <c r="E791" s="12"/>
    </row>
    <row r="792" spans="4:5" ht="12.75" x14ac:dyDescent="0.2">
      <c r="D792" s="12"/>
      <c r="E792" s="12"/>
    </row>
    <row r="793" spans="4:5" ht="12.75" x14ac:dyDescent="0.2">
      <c r="D793" s="12"/>
      <c r="E793" s="12"/>
    </row>
    <row r="794" spans="4:5" ht="12.75" x14ac:dyDescent="0.2">
      <c r="D794" s="12"/>
      <c r="E794" s="12"/>
    </row>
    <row r="795" spans="4:5" ht="12.75" x14ac:dyDescent="0.2">
      <c r="D795" s="12"/>
      <c r="E795" s="12"/>
    </row>
    <row r="796" spans="4:5" ht="12.75" x14ac:dyDescent="0.2">
      <c r="D796" s="12"/>
      <c r="E796" s="12"/>
    </row>
    <row r="797" spans="4:5" ht="12.75" x14ac:dyDescent="0.2">
      <c r="D797" s="12"/>
      <c r="E797" s="12"/>
    </row>
    <row r="798" spans="4:5" ht="12.75" x14ac:dyDescent="0.2">
      <c r="D798" s="12"/>
      <c r="E798" s="12"/>
    </row>
    <row r="799" spans="4:5" ht="12.75" x14ac:dyDescent="0.2">
      <c r="D799" s="12"/>
      <c r="E799" s="12"/>
    </row>
    <row r="800" spans="4:5" ht="12.75" x14ac:dyDescent="0.2">
      <c r="D800" s="12"/>
      <c r="E800" s="12"/>
    </row>
    <row r="801" spans="4:5" ht="12.75" x14ac:dyDescent="0.2">
      <c r="D801" s="12"/>
      <c r="E801" s="12"/>
    </row>
    <row r="802" spans="4:5" ht="12.75" x14ac:dyDescent="0.2">
      <c r="D802" s="12"/>
      <c r="E802" s="12"/>
    </row>
    <row r="803" spans="4:5" ht="12.75" x14ac:dyDescent="0.2">
      <c r="D803" s="12"/>
      <c r="E803" s="12"/>
    </row>
    <row r="804" spans="4:5" ht="12.75" x14ac:dyDescent="0.2">
      <c r="D804" s="12"/>
      <c r="E804" s="12"/>
    </row>
    <row r="805" spans="4:5" ht="12.75" x14ac:dyDescent="0.2">
      <c r="D805" s="12"/>
      <c r="E805" s="12"/>
    </row>
    <row r="806" spans="4:5" ht="12.75" x14ac:dyDescent="0.2">
      <c r="D806" s="12"/>
      <c r="E806" s="12"/>
    </row>
    <row r="807" spans="4:5" ht="12.75" x14ac:dyDescent="0.2">
      <c r="D807" s="12"/>
      <c r="E807" s="12"/>
    </row>
    <row r="808" spans="4:5" ht="12.75" x14ac:dyDescent="0.2">
      <c r="D808" s="12"/>
      <c r="E808" s="12"/>
    </row>
    <row r="809" spans="4:5" ht="12.75" x14ac:dyDescent="0.2">
      <c r="D809" s="12"/>
      <c r="E809" s="12"/>
    </row>
    <row r="810" spans="4:5" ht="12.75" x14ac:dyDescent="0.2">
      <c r="D810" s="12"/>
      <c r="E810" s="12"/>
    </row>
    <row r="811" spans="4:5" ht="12.75" x14ac:dyDescent="0.2">
      <c r="D811" s="12"/>
      <c r="E811" s="12"/>
    </row>
    <row r="812" spans="4:5" ht="12.75" x14ac:dyDescent="0.2">
      <c r="D812" s="12"/>
      <c r="E812" s="12"/>
    </row>
    <row r="813" spans="4:5" ht="12.75" x14ac:dyDescent="0.2">
      <c r="D813" s="12"/>
      <c r="E813" s="12"/>
    </row>
    <row r="814" spans="4:5" ht="12.75" x14ac:dyDescent="0.2">
      <c r="D814" s="12"/>
      <c r="E814" s="12"/>
    </row>
    <row r="815" spans="4:5" ht="12.75" x14ac:dyDescent="0.2">
      <c r="D815" s="12"/>
      <c r="E815" s="12"/>
    </row>
    <row r="816" spans="4:5" ht="12.75" x14ac:dyDescent="0.2">
      <c r="D816" s="12"/>
      <c r="E816" s="12"/>
    </row>
    <row r="817" spans="4:5" ht="12.75" x14ac:dyDescent="0.2">
      <c r="D817" s="12"/>
      <c r="E817" s="12"/>
    </row>
    <row r="818" spans="4:5" ht="12.75" x14ac:dyDescent="0.2">
      <c r="D818" s="12"/>
      <c r="E818" s="12"/>
    </row>
    <row r="819" spans="4:5" ht="12.75" x14ac:dyDescent="0.2">
      <c r="D819" s="12"/>
      <c r="E819" s="12"/>
    </row>
    <row r="820" spans="4:5" ht="12.75" x14ac:dyDescent="0.2">
      <c r="D820" s="12"/>
      <c r="E820" s="12"/>
    </row>
    <row r="821" spans="4:5" ht="12.75" x14ac:dyDescent="0.2">
      <c r="D821" s="12"/>
      <c r="E821" s="12"/>
    </row>
    <row r="822" spans="4:5" ht="12.75" x14ac:dyDescent="0.2">
      <c r="D822" s="12"/>
      <c r="E822" s="12"/>
    </row>
    <row r="823" spans="4:5" ht="12.75" x14ac:dyDescent="0.2">
      <c r="D823" s="12"/>
      <c r="E823" s="12"/>
    </row>
    <row r="824" spans="4:5" ht="12.75" x14ac:dyDescent="0.2">
      <c r="D824" s="12"/>
      <c r="E824" s="12"/>
    </row>
    <row r="825" spans="4:5" ht="12.75" x14ac:dyDescent="0.2">
      <c r="D825" s="12"/>
      <c r="E825" s="12"/>
    </row>
    <row r="826" spans="4:5" ht="12.75" x14ac:dyDescent="0.2">
      <c r="D826" s="12"/>
      <c r="E826" s="12"/>
    </row>
    <row r="827" spans="4:5" ht="12.75" x14ac:dyDescent="0.2">
      <c r="D827" s="12"/>
      <c r="E827" s="12"/>
    </row>
    <row r="828" spans="4:5" ht="12.75" x14ac:dyDescent="0.2">
      <c r="D828" s="12"/>
      <c r="E828" s="12"/>
    </row>
    <row r="829" spans="4:5" ht="12.75" x14ac:dyDescent="0.2">
      <c r="D829" s="12"/>
      <c r="E829" s="12"/>
    </row>
    <row r="830" spans="4:5" ht="12.75" x14ac:dyDescent="0.2">
      <c r="D830" s="12"/>
      <c r="E830" s="12"/>
    </row>
    <row r="831" spans="4:5" ht="12.75" x14ac:dyDescent="0.2">
      <c r="D831" s="12"/>
      <c r="E831" s="12"/>
    </row>
    <row r="832" spans="4:5" ht="12.75" x14ac:dyDescent="0.2">
      <c r="D832" s="12"/>
      <c r="E832" s="12"/>
    </row>
    <row r="833" spans="4:5" ht="12.75" x14ac:dyDescent="0.2">
      <c r="D833" s="12"/>
      <c r="E833" s="12"/>
    </row>
    <row r="834" spans="4:5" ht="12.75" x14ac:dyDescent="0.2">
      <c r="D834" s="12"/>
      <c r="E834" s="12"/>
    </row>
    <row r="835" spans="4:5" ht="12.75" x14ac:dyDescent="0.2">
      <c r="D835" s="12"/>
      <c r="E835" s="12"/>
    </row>
    <row r="836" spans="4:5" ht="12.75" x14ac:dyDescent="0.2">
      <c r="D836" s="12"/>
      <c r="E836" s="12"/>
    </row>
    <row r="837" spans="4:5" ht="12.75" x14ac:dyDescent="0.2">
      <c r="D837" s="12"/>
      <c r="E837" s="12"/>
    </row>
    <row r="838" spans="4:5" ht="12.75" x14ac:dyDescent="0.2">
      <c r="D838" s="12"/>
      <c r="E838" s="12"/>
    </row>
    <row r="839" spans="4:5" ht="12.75" x14ac:dyDescent="0.2">
      <c r="D839" s="12"/>
      <c r="E839" s="12"/>
    </row>
    <row r="840" spans="4:5" ht="12.75" x14ac:dyDescent="0.2">
      <c r="D840" s="12"/>
      <c r="E840" s="12"/>
    </row>
    <row r="841" spans="4:5" ht="12.75" x14ac:dyDescent="0.2">
      <c r="D841" s="12"/>
      <c r="E841" s="12"/>
    </row>
    <row r="842" spans="4:5" ht="12.75" x14ac:dyDescent="0.2">
      <c r="D842" s="12"/>
      <c r="E842" s="12"/>
    </row>
    <row r="843" spans="4:5" ht="12.75" x14ac:dyDescent="0.2">
      <c r="D843" s="12"/>
      <c r="E843" s="12"/>
    </row>
    <row r="844" spans="4:5" ht="12.75" x14ac:dyDescent="0.2">
      <c r="D844" s="12"/>
      <c r="E844" s="12"/>
    </row>
    <row r="845" spans="4:5" ht="12.75" x14ac:dyDescent="0.2">
      <c r="D845" s="12"/>
      <c r="E845" s="12"/>
    </row>
    <row r="846" spans="4:5" ht="12.75" x14ac:dyDescent="0.2">
      <c r="D846" s="12"/>
      <c r="E846" s="12"/>
    </row>
    <row r="847" spans="4:5" ht="12.75" x14ac:dyDescent="0.2">
      <c r="D847" s="12"/>
      <c r="E847" s="12"/>
    </row>
    <row r="848" spans="4:5" ht="12.75" x14ac:dyDescent="0.2">
      <c r="D848" s="12"/>
      <c r="E848" s="12"/>
    </row>
    <row r="849" spans="4:5" ht="12.75" x14ac:dyDescent="0.2">
      <c r="D849" s="12"/>
      <c r="E849" s="12"/>
    </row>
    <row r="850" spans="4:5" ht="12.75" x14ac:dyDescent="0.2">
      <c r="D850" s="12"/>
      <c r="E850" s="12"/>
    </row>
    <row r="851" spans="4:5" ht="12.75" x14ac:dyDescent="0.2">
      <c r="D851" s="12"/>
      <c r="E851" s="12"/>
    </row>
    <row r="852" spans="4:5" ht="12.75" x14ac:dyDescent="0.2">
      <c r="D852" s="12"/>
      <c r="E852" s="12"/>
    </row>
    <row r="853" spans="4:5" ht="12.75" x14ac:dyDescent="0.2">
      <c r="D853" s="12"/>
      <c r="E853" s="12"/>
    </row>
    <row r="854" spans="4:5" ht="12.75" x14ac:dyDescent="0.2">
      <c r="D854" s="12"/>
      <c r="E854" s="12"/>
    </row>
    <row r="855" spans="4:5" ht="12.75" x14ac:dyDescent="0.2">
      <c r="D855" s="12"/>
      <c r="E855" s="12"/>
    </row>
    <row r="856" spans="4:5" ht="12.75" x14ac:dyDescent="0.2">
      <c r="D856" s="12"/>
      <c r="E856" s="12"/>
    </row>
    <row r="857" spans="4:5" ht="12.75" x14ac:dyDescent="0.2">
      <c r="D857" s="12"/>
      <c r="E857" s="12"/>
    </row>
    <row r="858" spans="4:5" ht="12.75" x14ac:dyDescent="0.2">
      <c r="D858" s="12"/>
      <c r="E858" s="12"/>
    </row>
    <row r="859" spans="4:5" ht="12.75" x14ac:dyDescent="0.2">
      <c r="D859" s="12"/>
      <c r="E859" s="12"/>
    </row>
    <row r="860" spans="4:5" ht="12.75" x14ac:dyDescent="0.2">
      <c r="D860" s="12"/>
      <c r="E860" s="12"/>
    </row>
    <row r="861" spans="4:5" ht="12.75" x14ac:dyDescent="0.2">
      <c r="D861" s="12"/>
      <c r="E861" s="12"/>
    </row>
    <row r="862" spans="4:5" ht="12.75" x14ac:dyDescent="0.2">
      <c r="D862" s="12"/>
      <c r="E862" s="12"/>
    </row>
    <row r="863" spans="4:5" ht="12.75" x14ac:dyDescent="0.2">
      <c r="D863" s="12"/>
      <c r="E863" s="12"/>
    </row>
    <row r="864" spans="4:5" ht="12.75" x14ac:dyDescent="0.2">
      <c r="D864" s="12"/>
      <c r="E864" s="12"/>
    </row>
    <row r="865" spans="4:5" ht="12.75" x14ac:dyDescent="0.2">
      <c r="D865" s="12"/>
      <c r="E865" s="12"/>
    </row>
    <row r="866" spans="4:5" ht="12.75" x14ac:dyDescent="0.2">
      <c r="D866" s="12"/>
      <c r="E866" s="12"/>
    </row>
    <row r="867" spans="4:5" ht="12.75" x14ac:dyDescent="0.2">
      <c r="D867" s="12"/>
      <c r="E867" s="12"/>
    </row>
    <row r="868" spans="4:5" ht="12.75" x14ac:dyDescent="0.2">
      <c r="D868" s="12"/>
      <c r="E868" s="12"/>
    </row>
    <row r="869" spans="4:5" ht="12.75" x14ac:dyDescent="0.2">
      <c r="D869" s="12"/>
      <c r="E869" s="12"/>
    </row>
    <row r="870" spans="4:5" ht="12.75" x14ac:dyDescent="0.2">
      <c r="D870" s="12"/>
      <c r="E870" s="12"/>
    </row>
    <row r="871" spans="4:5" ht="12.75" x14ac:dyDescent="0.2">
      <c r="D871" s="12"/>
      <c r="E871" s="12"/>
    </row>
    <row r="872" spans="4:5" ht="12.75" x14ac:dyDescent="0.2">
      <c r="D872" s="12"/>
      <c r="E872" s="12"/>
    </row>
    <row r="873" spans="4:5" ht="12.75" x14ac:dyDescent="0.2">
      <c r="D873" s="12"/>
      <c r="E873" s="12"/>
    </row>
    <row r="874" spans="4:5" ht="12.75" x14ac:dyDescent="0.2">
      <c r="D874" s="12"/>
      <c r="E874" s="12"/>
    </row>
    <row r="875" spans="4:5" ht="12.75" x14ac:dyDescent="0.2">
      <c r="D875" s="12"/>
      <c r="E875" s="12"/>
    </row>
    <row r="876" spans="4:5" ht="12.75" x14ac:dyDescent="0.2">
      <c r="D876" s="12"/>
      <c r="E876" s="12"/>
    </row>
    <row r="877" spans="4:5" ht="12.75" x14ac:dyDescent="0.2">
      <c r="D877" s="12"/>
      <c r="E877" s="12"/>
    </row>
    <row r="878" spans="4:5" ht="12.75" x14ac:dyDescent="0.2">
      <c r="D878" s="12"/>
      <c r="E878" s="12"/>
    </row>
    <row r="879" spans="4:5" ht="12.75" x14ac:dyDescent="0.2">
      <c r="D879" s="12"/>
      <c r="E879" s="12"/>
    </row>
    <row r="880" spans="4:5" ht="12.75" x14ac:dyDescent="0.2">
      <c r="D880" s="12"/>
      <c r="E880" s="12"/>
    </row>
    <row r="881" spans="4:5" ht="12.75" x14ac:dyDescent="0.2">
      <c r="D881" s="12"/>
      <c r="E881" s="12"/>
    </row>
    <row r="882" spans="4:5" ht="12.75" x14ac:dyDescent="0.2">
      <c r="D882" s="12"/>
      <c r="E882" s="12"/>
    </row>
    <row r="883" spans="4:5" ht="12.75" x14ac:dyDescent="0.2">
      <c r="D883" s="12"/>
      <c r="E883" s="12"/>
    </row>
    <row r="884" spans="4:5" ht="12.75" x14ac:dyDescent="0.2">
      <c r="D884" s="12"/>
      <c r="E884" s="12"/>
    </row>
    <row r="885" spans="4:5" ht="12.75" x14ac:dyDescent="0.2">
      <c r="D885" s="12"/>
      <c r="E885" s="12"/>
    </row>
    <row r="886" spans="4:5" ht="12.75" x14ac:dyDescent="0.2">
      <c r="D886" s="12"/>
      <c r="E886" s="12"/>
    </row>
    <row r="887" spans="4:5" ht="12.75" x14ac:dyDescent="0.2">
      <c r="D887" s="12"/>
      <c r="E887" s="12"/>
    </row>
    <row r="888" spans="4:5" ht="12.75" x14ac:dyDescent="0.2">
      <c r="D888" s="12"/>
      <c r="E888" s="12"/>
    </row>
    <row r="889" spans="4:5" ht="12.75" x14ac:dyDescent="0.2">
      <c r="D889" s="12"/>
      <c r="E889" s="12"/>
    </row>
    <row r="890" spans="4:5" ht="12.75" x14ac:dyDescent="0.2">
      <c r="D890" s="12"/>
      <c r="E890" s="12"/>
    </row>
    <row r="891" spans="4:5" ht="12.75" x14ac:dyDescent="0.2">
      <c r="D891" s="12"/>
      <c r="E891" s="12"/>
    </row>
    <row r="892" spans="4:5" ht="12.75" x14ac:dyDescent="0.2">
      <c r="D892" s="12"/>
      <c r="E892" s="12"/>
    </row>
    <row r="893" spans="4:5" ht="12.75" x14ac:dyDescent="0.2">
      <c r="D893" s="12"/>
      <c r="E893" s="12"/>
    </row>
    <row r="894" spans="4:5" ht="12.75" x14ac:dyDescent="0.2">
      <c r="D894" s="12"/>
      <c r="E894" s="12"/>
    </row>
    <row r="895" spans="4:5" ht="12.75" x14ac:dyDescent="0.2">
      <c r="D895" s="12"/>
      <c r="E895" s="12"/>
    </row>
    <row r="896" spans="4:5" ht="12.75" x14ac:dyDescent="0.2">
      <c r="D896" s="12"/>
      <c r="E896" s="12"/>
    </row>
    <row r="897" spans="4:5" ht="12.75" x14ac:dyDescent="0.2">
      <c r="D897" s="12"/>
      <c r="E897" s="12"/>
    </row>
    <row r="898" spans="4:5" ht="12.75" x14ac:dyDescent="0.2">
      <c r="D898" s="12"/>
      <c r="E898" s="12"/>
    </row>
    <row r="899" spans="4:5" ht="12.75" x14ac:dyDescent="0.2">
      <c r="D899" s="12"/>
      <c r="E899" s="12"/>
    </row>
    <row r="900" spans="4:5" ht="12.75" x14ac:dyDescent="0.2">
      <c r="D900" s="12"/>
      <c r="E900" s="12"/>
    </row>
    <row r="901" spans="4:5" ht="12.75" x14ac:dyDescent="0.2">
      <c r="D901" s="12"/>
      <c r="E901" s="12"/>
    </row>
    <row r="902" spans="4:5" ht="12.75" x14ac:dyDescent="0.2">
      <c r="D902" s="12"/>
      <c r="E902" s="12"/>
    </row>
    <row r="903" spans="4:5" ht="12.75" x14ac:dyDescent="0.2">
      <c r="D903" s="12"/>
      <c r="E903" s="12"/>
    </row>
    <row r="904" spans="4:5" ht="12.75" x14ac:dyDescent="0.2">
      <c r="D904" s="12"/>
      <c r="E904" s="12"/>
    </row>
    <row r="905" spans="4:5" ht="12.75" x14ac:dyDescent="0.2">
      <c r="D905" s="12"/>
      <c r="E905" s="12"/>
    </row>
    <row r="906" spans="4:5" ht="12.75" x14ac:dyDescent="0.2">
      <c r="D906" s="12"/>
      <c r="E906" s="12"/>
    </row>
    <row r="907" spans="4:5" ht="12.75" x14ac:dyDescent="0.2">
      <c r="D907" s="12"/>
      <c r="E907" s="12"/>
    </row>
    <row r="908" spans="4:5" ht="12.75" x14ac:dyDescent="0.2">
      <c r="D908" s="12"/>
      <c r="E908" s="12"/>
    </row>
    <row r="909" spans="4:5" ht="12.75" x14ac:dyDescent="0.2">
      <c r="D909" s="12"/>
      <c r="E909" s="12"/>
    </row>
    <row r="910" spans="4:5" ht="12.75" x14ac:dyDescent="0.2">
      <c r="D910" s="12"/>
      <c r="E910" s="12"/>
    </row>
    <row r="911" spans="4:5" ht="12.75" x14ac:dyDescent="0.2">
      <c r="D911" s="12"/>
      <c r="E911" s="12"/>
    </row>
    <row r="912" spans="4:5" ht="12.75" x14ac:dyDescent="0.2">
      <c r="D912" s="12"/>
      <c r="E912" s="12"/>
    </row>
    <row r="913" spans="4:5" ht="12.75" x14ac:dyDescent="0.2">
      <c r="D913" s="12"/>
      <c r="E913" s="12"/>
    </row>
    <row r="914" spans="4:5" ht="12.75" x14ac:dyDescent="0.2">
      <c r="D914" s="12"/>
      <c r="E914" s="12"/>
    </row>
    <row r="915" spans="4:5" ht="12.75" x14ac:dyDescent="0.2">
      <c r="D915" s="12"/>
      <c r="E915" s="12"/>
    </row>
    <row r="916" spans="4:5" ht="12.75" x14ac:dyDescent="0.2">
      <c r="D916" s="12"/>
      <c r="E916" s="12"/>
    </row>
    <row r="917" spans="4:5" ht="12.75" x14ac:dyDescent="0.2">
      <c r="D917" s="12"/>
      <c r="E917" s="12"/>
    </row>
    <row r="918" spans="4:5" ht="12.75" x14ac:dyDescent="0.2">
      <c r="D918" s="12"/>
      <c r="E918" s="12"/>
    </row>
    <row r="919" spans="4:5" ht="12.75" x14ac:dyDescent="0.2">
      <c r="D919" s="12"/>
      <c r="E919" s="12"/>
    </row>
    <row r="920" spans="4:5" ht="12.75" x14ac:dyDescent="0.2">
      <c r="D920" s="12"/>
      <c r="E920" s="12"/>
    </row>
    <row r="921" spans="4:5" ht="12.75" x14ac:dyDescent="0.2">
      <c r="D921" s="12"/>
      <c r="E921" s="12"/>
    </row>
    <row r="922" spans="4:5" ht="12.75" x14ac:dyDescent="0.2">
      <c r="D922" s="12"/>
      <c r="E922" s="12"/>
    </row>
    <row r="923" spans="4:5" ht="12.75" x14ac:dyDescent="0.2">
      <c r="D923" s="12"/>
      <c r="E923" s="12"/>
    </row>
    <row r="924" spans="4:5" ht="12.75" x14ac:dyDescent="0.2">
      <c r="D924" s="12"/>
      <c r="E924" s="12"/>
    </row>
    <row r="925" spans="4:5" ht="12.75" x14ac:dyDescent="0.2">
      <c r="D925" s="12"/>
      <c r="E925" s="12"/>
    </row>
    <row r="926" spans="4:5" ht="12.75" x14ac:dyDescent="0.2">
      <c r="D926" s="12"/>
      <c r="E926" s="12"/>
    </row>
    <row r="927" spans="4:5" ht="12.75" x14ac:dyDescent="0.2">
      <c r="D927" s="12"/>
      <c r="E927" s="12"/>
    </row>
    <row r="928" spans="4:5" ht="12.75" x14ac:dyDescent="0.2">
      <c r="D928" s="12"/>
      <c r="E928" s="12"/>
    </row>
    <row r="929" spans="4:5" ht="12.75" x14ac:dyDescent="0.2">
      <c r="D929" s="12"/>
      <c r="E929" s="12"/>
    </row>
    <row r="930" spans="4:5" ht="12.75" x14ac:dyDescent="0.2">
      <c r="D930" s="12"/>
      <c r="E930" s="12"/>
    </row>
    <row r="931" spans="4:5" ht="12.75" x14ac:dyDescent="0.2">
      <c r="D931" s="12"/>
      <c r="E931" s="12"/>
    </row>
    <row r="932" spans="4:5" ht="12.75" x14ac:dyDescent="0.2">
      <c r="D932" s="12"/>
      <c r="E932" s="12"/>
    </row>
    <row r="933" spans="4:5" ht="12.75" x14ac:dyDescent="0.2">
      <c r="D933" s="12"/>
      <c r="E933" s="12"/>
    </row>
    <row r="934" spans="4:5" ht="12.75" x14ac:dyDescent="0.2">
      <c r="D934" s="12"/>
      <c r="E934" s="12"/>
    </row>
    <row r="935" spans="4:5" ht="12.75" x14ac:dyDescent="0.2">
      <c r="D935" s="12"/>
      <c r="E935" s="12"/>
    </row>
    <row r="936" spans="4:5" ht="12.75" x14ac:dyDescent="0.2">
      <c r="D936" s="12"/>
      <c r="E936" s="12"/>
    </row>
    <row r="937" spans="4:5" ht="12.75" x14ac:dyDescent="0.2">
      <c r="D937" s="12"/>
      <c r="E937" s="12"/>
    </row>
    <row r="938" spans="4:5" ht="12.75" x14ac:dyDescent="0.2">
      <c r="D938" s="12"/>
      <c r="E938" s="12"/>
    </row>
    <row r="939" spans="4:5" ht="12.75" x14ac:dyDescent="0.2">
      <c r="D939" s="12"/>
      <c r="E939" s="12"/>
    </row>
    <row r="940" spans="4:5" ht="12.75" x14ac:dyDescent="0.2">
      <c r="D940" s="12"/>
      <c r="E940" s="12"/>
    </row>
    <row r="941" spans="4:5" ht="12.75" x14ac:dyDescent="0.2">
      <c r="D941" s="12"/>
      <c r="E941" s="12"/>
    </row>
    <row r="942" spans="4:5" ht="12.75" x14ac:dyDescent="0.2">
      <c r="D942" s="12"/>
      <c r="E942" s="12"/>
    </row>
    <row r="943" spans="4:5" ht="12.75" x14ac:dyDescent="0.2">
      <c r="D943" s="12"/>
      <c r="E943" s="12"/>
    </row>
    <row r="944" spans="4:5" ht="12.75" x14ac:dyDescent="0.2">
      <c r="D944" s="12"/>
      <c r="E944" s="12"/>
    </row>
    <row r="945" spans="4:5" ht="12.75" x14ac:dyDescent="0.2">
      <c r="D945" s="12"/>
      <c r="E945" s="12"/>
    </row>
    <row r="946" spans="4:5" ht="12.75" x14ac:dyDescent="0.2">
      <c r="D946" s="12"/>
      <c r="E946" s="12"/>
    </row>
    <row r="947" spans="4:5" ht="12.75" x14ac:dyDescent="0.2">
      <c r="D947" s="12"/>
      <c r="E947" s="12"/>
    </row>
    <row r="948" spans="4:5" ht="12.75" x14ac:dyDescent="0.2">
      <c r="D948" s="12"/>
      <c r="E948" s="12"/>
    </row>
    <row r="949" spans="4:5" ht="12.75" x14ac:dyDescent="0.2">
      <c r="D949" s="12"/>
      <c r="E949" s="12"/>
    </row>
    <row r="950" spans="4:5" ht="12.75" x14ac:dyDescent="0.2">
      <c r="D950" s="12"/>
      <c r="E950" s="12"/>
    </row>
    <row r="951" spans="4:5" ht="12.75" x14ac:dyDescent="0.2">
      <c r="D951" s="12"/>
      <c r="E951" s="12"/>
    </row>
    <row r="952" spans="4:5" ht="12.75" x14ac:dyDescent="0.2">
      <c r="D952" s="12"/>
      <c r="E952" s="12"/>
    </row>
    <row r="953" spans="4:5" ht="12.75" x14ac:dyDescent="0.2">
      <c r="D953" s="12"/>
      <c r="E953" s="12"/>
    </row>
    <row r="954" spans="4:5" ht="12.75" x14ac:dyDescent="0.2">
      <c r="D954" s="12"/>
      <c r="E954" s="12"/>
    </row>
    <row r="955" spans="4:5" ht="12.75" x14ac:dyDescent="0.2">
      <c r="D955" s="12"/>
      <c r="E955" s="12"/>
    </row>
    <row r="956" spans="4:5" ht="12.75" x14ac:dyDescent="0.2">
      <c r="D956" s="12"/>
      <c r="E956" s="12"/>
    </row>
    <row r="957" spans="4:5" ht="12.75" x14ac:dyDescent="0.2">
      <c r="D957" s="12"/>
      <c r="E957" s="12"/>
    </row>
    <row r="958" spans="4:5" ht="12.75" x14ac:dyDescent="0.2">
      <c r="D958" s="12"/>
      <c r="E958" s="12"/>
    </row>
    <row r="959" spans="4:5" ht="12.75" x14ac:dyDescent="0.2">
      <c r="D959" s="12"/>
      <c r="E959" s="12"/>
    </row>
    <row r="960" spans="4:5" ht="12.75" x14ac:dyDescent="0.2">
      <c r="D960" s="12"/>
      <c r="E960" s="12"/>
    </row>
    <row r="961" spans="4:5" ht="12.75" x14ac:dyDescent="0.2">
      <c r="D961" s="12"/>
      <c r="E961" s="12"/>
    </row>
    <row r="962" spans="4:5" ht="12.75" x14ac:dyDescent="0.2">
      <c r="D962" s="12"/>
      <c r="E962" s="12"/>
    </row>
    <row r="963" spans="4:5" ht="12.75" x14ac:dyDescent="0.2">
      <c r="D963" s="12"/>
      <c r="E963" s="12"/>
    </row>
    <row r="964" spans="4:5" ht="12.75" x14ac:dyDescent="0.2">
      <c r="D964" s="12"/>
      <c r="E964" s="12"/>
    </row>
    <row r="965" spans="4:5" ht="12.75" x14ac:dyDescent="0.2">
      <c r="D965" s="12"/>
      <c r="E965" s="12"/>
    </row>
    <row r="966" spans="4:5" ht="12.75" x14ac:dyDescent="0.2">
      <c r="D966" s="12"/>
      <c r="E966" s="12"/>
    </row>
    <row r="967" spans="4:5" ht="12.75" x14ac:dyDescent="0.2">
      <c r="D967" s="12"/>
      <c r="E967" s="12"/>
    </row>
    <row r="968" spans="4:5" ht="12.75" x14ac:dyDescent="0.2">
      <c r="D968" s="12"/>
      <c r="E968" s="12"/>
    </row>
    <row r="969" spans="4:5" ht="12.75" x14ac:dyDescent="0.2">
      <c r="D969" s="12"/>
      <c r="E969" s="12"/>
    </row>
    <row r="970" spans="4:5" ht="12.75" x14ac:dyDescent="0.2">
      <c r="D970" s="12"/>
      <c r="E970" s="12"/>
    </row>
    <row r="971" spans="4:5" ht="12.75" x14ac:dyDescent="0.2">
      <c r="D971" s="12"/>
      <c r="E971" s="12"/>
    </row>
    <row r="972" spans="4:5" ht="12.75" x14ac:dyDescent="0.2">
      <c r="D972" s="12"/>
      <c r="E972" s="12"/>
    </row>
    <row r="973" spans="4:5" ht="12.75" x14ac:dyDescent="0.2">
      <c r="D973" s="12"/>
      <c r="E973" s="12"/>
    </row>
    <row r="974" spans="4:5" ht="12.75" x14ac:dyDescent="0.2">
      <c r="D974" s="12"/>
      <c r="E974" s="12"/>
    </row>
    <row r="975" spans="4:5" ht="12.75" x14ac:dyDescent="0.2">
      <c r="D975" s="12"/>
      <c r="E975" s="12"/>
    </row>
    <row r="976" spans="4:5" ht="12.75" x14ac:dyDescent="0.2">
      <c r="D976" s="12"/>
      <c r="E976" s="12"/>
    </row>
    <row r="977" spans="4:5" ht="12.75" x14ac:dyDescent="0.2">
      <c r="D977" s="12"/>
      <c r="E977" s="12"/>
    </row>
    <row r="978" spans="4:5" ht="12.75" x14ac:dyDescent="0.2">
      <c r="D978" s="12"/>
      <c r="E978" s="12"/>
    </row>
    <row r="979" spans="4:5" ht="12.75" x14ac:dyDescent="0.2">
      <c r="D979" s="12"/>
      <c r="E979" s="12"/>
    </row>
    <row r="980" spans="4:5" ht="12.75" x14ac:dyDescent="0.2">
      <c r="D980" s="12"/>
      <c r="E980" s="12"/>
    </row>
    <row r="981" spans="4:5" ht="12.75" x14ac:dyDescent="0.2">
      <c r="D981" s="12"/>
      <c r="E981" s="12"/>
    </row>
    <row r="982" spans="4:5" ht="12.75" x14ac:dyDescent="0.2">
      <c r="D982" s="12"/>
      <c r="E982" s="12"/>
    </row>
    <row r="983" spans="4:5" ht="12.75" x14ac:dyDescent="0.2">
      <c r="D983" s="12"/>
      <c r="E983" s="12"/>
    </row>
    <row r="984" spans="4:5" ht="12.75" x14ac:dyDescent="0.2">
      <c r="D984" s="12"/>
      <c r="E984" s="12"/>
    </row>
    <row r="985" spans="4:5" ht="12.75" x14ac:dyDescent="0.2">
      <c r="D985" s="12"/>
      <c r="E985" s="12"/>
    </row>
    <row r="986" spans="4:5" ht="12.75" x14ac:dyDescent="0.2">
      <c r="D986" s="12"/>
      <c r="E986" s="12"/>
    </row>
    <row r="987" spans="4:5" ht="12.75" x14ac:dyDescent="0.2">
      <c r="D987" s="12"/>
      <c r="E987" s="12"/>
    </row>
    <row r="988" spans="4:5" ht="12.75" x14ac:dyDescent="0.2">
      <c r="D988" s="12"/>
      <c r="E988" s="12"/>
    </row>
    <row r="989" spans="4:5" ht="12.75" x14ac:dyDescent="0.2">
      <c r="D989" s="12"/>
      <c r="E989" s="12"/>
    </row>
    <row r="990" spans="4:5" ht="12.75" x14ac:dyDescent="0.2">
      <c r="D990" s="12"/>
      <c r="E990" s="12"/>
    </row>
    <row r="991" spans="4:5" ht="12.75" x14ac:dyDescent="0.2">
      <c r="D991" s="12"/>
      <c r="E991" s="12"/>
    </row>
    <row r="992" spans="4:5" ht="12.75" x14ac:dyDescent="0.2">
      <c r="D992" s="12"/>
      <c r="E992" s="12"/>
    </row>
    <row r="993" spans="4:5" ht="12.75" x14ac:dyDescent="0.2">
      <c r="D993" s="12"/>
      <c r="E993" s="12"/>
    </row>
    <row r="994" spans="4:5" ht="12.75" x14ac:dyDescent="0.2">
      <c r="D994" s="12"/>
      <c r="E994" s="12"/>
    </row>
    <row r="995" spans="4:5" ht="12.75" x14ac:dyDescent="0.2">
      <c r="D995" s="12"/>
      <c r="E995" s="12"/>
    </row>
    <row r="996" spans="4:5" ht="12.75" x14ac:dyDescent="0.2">
      <c r="D996" s="12"/>
      <c r="E996" s="12"/>
    </row>
    <row r="997" spans="4:5" ht="12.75" x14ac:dyDescent="0.2">
      <c r="D997" s="12"/>
      <c r="E997" s="12"/>
    </row>
    <row r="998" spans="4:5" ht="12.75" x14ac:dyDescent="0.2">
      <c r="D998" s="12"/>
      <c r="E998" s="12"/>
    </row>
    <row r="999" spans="4:5" ht="12.75" x14ac:dyDescent="0.2">
      <c r="D999" s="12"/>
      <c r="E999" s="12"/>
    </row>
    <row r="1000" spans="4:5" ht="12.75" x14ac:dyDescent="0.2">
      <c r="D1000" s="12"/>
      <c r="E1000" s="12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tabSelected="1" topLeftCell="A7" workbookViewId="0"/>
  </sheetViews>
  <sheetFormatPr defaultColWidth="14.42578125" defaultRowHeight="15.75" customHeight="1" x14ac:dyDescent="0.2"/>
  <cols>
    <col min="1" max="1" width="14.85546875" customWidth="1"/>
    <col min="2" max="2" width="13.42578125" customWidth="1"/>
    <col min="3" max="3" width="27.85546875" customWidth="1"/>
    <col min="4" max="4" width="20.28515625" customWidth="1"/>
    <col min="5" max="5" width="20.5703125" customWidth="1"/>
    <col min="6" max="6" width="23.85546875" customWidth="1"/>
    <col min="7" max="7" width="22.140625" customWidth="1"/>
    <col min="8" max="8" width="21" customWidth="1"/>
    <col min="9" max="9" width="22.85546875" customWidth="1"/>
  </cols>
  <sheetData>
    <row r="1" spans="1:9" ht="15.75" customHeight="1" x14ac:dyDescent="0.2">
      <c r="A1" s="1" t="s">
        <v>0</v>
      </c>
      <c r="B1" s="1" t="s">
        <v>1</v>
      </c>
      <c r="C1" s="2"/>
      <c r="D1" s="9" t="s">
        <v>8</v>
      </c>
      <c r="E1" s="10" t="s">
        <v>2</v>
      </c>
      <c r="F1" s="8" t="s">
        <v>9</v>
      </c>
      <c r="G1" s="8" t="s">
        <v>10</v>
      </c>
      <c r="H1" s="8" t="s">
        <v>11</v>
      </c>
      <c r="I1" s="1" t="s">
        <v>4</v>
      </c>
    </row>
    <row r="2" spans="1:9" ht="15.75" customHeight="1" x14ac:dyDescent="0.2">
      <c r="A2" s="11">
        <v>0</v>
      </c>
      <c r="B2" s="4">
        <v>200</v>
      </c>
      <c r="C2" s="2"/>
      <c r="D2" s="11">
        <v>0</v>
      </c>
      <c r="E2" s="11">
        <v>0</v>
      </c>
      <c r="F2" s="6">
        <f t="shared" ref="F2:F104" si="0">(2/6) * ((-$A$2*($B$2 - (D2*$A$2 +E2))) + (-$A$3*($B$3 - (D2*$A$3 +E2))) + (-$A$4*($B$4 - (D2*$A$4 +E2))) + (-$A$5*($B$5 - (D2*$A$5 +E2))) + (-$A$6*($B$6 - (D2*$A$6 +E2))) + (-$A$7*($B$7 - (D2*$A$7 +E2))))</f>
        <v>-275.76666666666665</v>
      </c>
      <c r="G2" s="6">
        <f t="shared" ref="G2:G104" si="1">(2/6) * ((-1 *($B$2-(D2*$A$2 + E2)))+ (-1 *($B$3-(D2*$A$3 + E2)))+ (-1 *($B$4-(D2*$A$4 + E2)))+ (-1 *($B$5-(D2*$A$5 + E2)))+ (-1 *($B$6-(D2*$A$6 + E2)))+ (-1 *($B$7-(D2*$A$7 + E2))))</f>
        <v>-490</v>
      </c>
      <c r="H2" s="6">
        <f t="shared" ref="H2:I2" si="2">F2*$B$10</f>
        <v>-27.576666666666668</v>
      </c>
      <c r="I2" s="5">
        <f t="shared" si="2"/>
        <v>-49</v>
      </c>
    </row>
    <row r="3" spans="1:9" ht="15.75" customHeight="1" x14ac:dyDescent="0.2">
      <c r="A3" s="11">
        <v>0.25</v>
      </c>
      <c r="B3" s="4">
        <v>230</v>
      </c>
      <c r="D3" s="12">
        <f t="shared" ref="D3:E3" si="3">D2-H2</f>
        <v>27.576666666666668</v>
      </c>
      <c r="E3" s="12">
        <f t="shared" si="3"/>
        <v>49</v>
      </c>
      <c r="F3" s="6">
        <f t="shared" si="0"/>
        <v>-201.66847222222219</v>
      </c>
      <c r="G3" s="6">
        <f t="shared" si="1"/>
        <v>-362.58488888888888</v>
      </c>
      <c r="H3" s="6">
        <f t="shared" ref="H3:I3" si="4">F3*$B$10</f>
        <v>-20.16684722222222</v>
      </c>
      <c r="I3" s="5">
        <f t="shared" si="4"/>
        <v>-36.258488888888891</v>
      </c>
    </row>
    <row r="4" spans="1:9" ht="15.75" customHeight="1" x14ac:dyDescent="0.2">
      <c r="A4" s="11">
        <v>0.5</v>
      </c>
      <c r="B4" s="4">
        <v>245</v>
      </c>
      <c r="D4" s="12">
        <f t="shared" ref="D4:E4" si="5">D3-H3</f>
        <v>47.743513888888884</v>
      </c>
      <c r="E4" s="12">
        <f t="shared" si="5"/>
        <v>85.258488888888891</v>
      </c>
      <c r="F4" s="6">
        <f t="shared" si="0"/>
        <v>-147.02733002314815</v>
      </c>
      <c r="G4" s="6">
        <f t="shared" si="1"/>
        <v>-268.5566074074074</v>
      </c>
      <c r="H4" s="6">
        <f t="shared" ref="H4:I4" si="6">F4*$B$10</f>
        <v>-14.702733002314815</v>
      </c>
      <c r="I4" s="5">
        <f t="shared" si="6"/>
        <v>-26.855660740740742</v>
      </c>
    </row>
    <row r="5" spans="1:9" ht="15.75" customHeight="1" x14ac:dyDescent="0.2">
      <c r="A5" s="11">
        <v>0.65</v>
      </c>
      <c r="B5" s="4">
        <v>274</v>
      </c>
      <c r="D5" s="12">
        <f t="shared" ref="D5:E5" si="7">D4-H4</f>
        <v>62.4462468912037</v>
      </c>
      <c r="E5" s="12">
        <f t="shared" si="7"/>
        <v>112.11414962962964</v>
      </c>
      <c r="F5" s="6">
        <f t="shared" si="0"/>
        <v>-106.74162827285878</v>
      </c>
      <c r="G5" s="6">
        <f t="shared" si="1"/>
        <v>-199.16237072345677</v>
      </c>
      <c r="H5" s="6">
        <f t="shared" ref="H5:I5" si="8">F5*$B$10</f>
        <v>-10.674162827285878</v>
      </c>
      <c r="I5" s="5">
        <f t="shared" si="8"/>
        <v>-19.91623707234568</v>
      </c>
    </row>
    <row r="6" spans="1:9" ht="15.75" customHeight="1" x14ac:dyDescent="0.2">
      <c r="A6" s="11">
        <v>0.8</v>
      </c>
      <c r="B6" s="4">
        <v>259</v>
      </c>
      <c r="D6" s="12">
        <f t="shared" ref="D6:E6" si="9">D5-H5</f>
        <v>73.120409718489583</v>
      </c>
      <c r="E6" s="12">
        <f t="shared" si="9"/>
        <v>132.03038670197532</v>
      </c>
      <c r="F6" s="6">
        <f t="shared" si="0"/>
        <v>-77.047263157422066</v>
      </c>
      <c r="G6" s="6">
        <f t="shared" si="1"/>
        <v>-147.94412289632714</v>
      </c>
      <c r="H6" s="6">
        <f t="shared" ref="H6:I6" si="10">F6*$B$10</f>
        <v>-7.7047263157422066</v>
      </c>
      <c r="I6" s="5">
        <f t="shared" si="10"/>
        <v>-14.794412289632715</v>
      </c>
    </row>
    <row r="7" spans="1:9" ht="15.75" customHeight="1" x14ac:dyDescent="0.2">
      <c r="A7" s="11">
        <v>1</v>
      </c>
      <c r="B7" s="4">
        <v>262</v>
      </c>
      <c r="D7" s="12">
        <f t="shared" ref="D7:E7" si="11">D6-H6</f>
        <v>80.825136034231789</v>
      </c>
      <c r="E7" s="12">
        <f t="shared" si="11"/>
        <v>146.82479899160802</v>
      </c>
      <c r="F7" s="6">
        <f t="shared" si="0"/>
        <v>-55.166981715184619</v>
      </c>
      <c r="G7" s="6">
        <f t="shared" si="1"/>
        <v>-110.13692358027005</v>
      </c>
      <c r="H7" s="6">
        <f t="shared" ref="H7:I7" si="12">F7*$B$10</f>
        <v>-5.5166981715184624</v>
      </c>
      <c r="I7" s="5">
        <f t="shared" si="12"/>
        <v>-11.013692358027006</v>
      </c>
    </row>
    <row r="8" spans="1:9" ht="15.75" customHeight="1" x14ac:dyDescent="0.2">
      <c r="D8" s="12">
        <f t="shared" ref="D8:E8" si="13">D7-H7</f>
        <v>86.341834205750246</v>
      </c>
      <c r="E8" s="12">
        <f t="shared" si="13"/>
        <v>157.83849134963504</v>
      </c>
      <c r="F8" s="6">
        <f t="shared" si="0"/>
        <v>-39.051657147503676</v>
      </c>
      <c r="G8" s="6">
        <f t="shared" si="1"/>
        <v>-82.225060814596304</v>
      </c>
      <c r="H8" s="6">
        <f t="shared" ref="H8:I8" si="14">F8*$B$10</f>
        <v>-3.9051657147503676</v>
      </c>
      <c r="I8" s="5">
        <f t="shared" si="14"/>
        <v>-8.2225060814596311</v>
      </c>
    </row>
    <row r="9" spans="1:9" ht="15.75" customHeight="1" x14ac:dyDescent="0.2">
      <c r="D9" s="12">
        <f t="shared" ref="D9:E9" si="15">D8-H8</f>
        <v>90.246999920500613</v>
      </c>
      <c r="E9" s="12">
        <f t="shared" si="15"/>
        <v>166.06099743109468</v>
      </c>
      <c r="F9" s="6">
        <f t="shared" si="0"/>
        <v>-27.189394469769354</v>
      </c>
      <c r="G9" s="6">
        <f t="shared" si="1"/>
        <v>-61.614538555943319</v>
      </c>
      <c r="H9" s="6">
        <f t="shared" ref="H9:I9" si="16">F9*$B$10</f>
        <v>-2.7189394469769357</v>
      </c>
      <c r="I9" s="5">
        <f t="shared" si="16"/>
        <v>-6.1614538555943321</v>
      </c>
    </row>
    <row r="10" spans="1:9" ht="15.75" customHeight="1" x14ac:dyDescent="0.2">
      <c r="A10" s="1" t="s">
        <v>6</v>
      </c>
      <c r="B10" s="7">
        <v>0.1</v>
      </c>
      <c r="D10" s="12">
        <f t="shared" ref="D10:E10" si="17">D9-H9</f>
        <v>92.965939367477546</v>
      </c>
      <c r="E10" s="12">
        <f t="shared" si="17"/>
        <v>172.22245128668902</v>
      </c>
      <c r="F10" s="6">
        <f t="shared" si="0"/>
        <v>-18.464683294945317</v>
      </c>
      <c r="G10" s="6">
        <f t="shared" si="1"/>
        <v>-46.391428767979235</v>
      </c>
      <c r="H10" s="6">
        <f t="shared" ref="H10:I10" si="18">F10*$B$10</f>
        <v>-1.8464683294945319</v>
      </c>
      <c r="I10" s="5">
        <f t="shared" si="18"/>
        <v>-4.6391428767979237</v>
      </c>
    </row>
    <row r="11" spans="1:9" ht="15.75" customHeight="1" x14ac:dyDescent="0.2">
      <c r="D11" s="12">
        <f t="shared" ref="D11:E11" si="19">D10-H10</f>
        <v>94.812407696972073</v>
      </c>
      <c r="E11" s="12">
        <f t="shared" si="19"/>
        <v>176.86159416348696</v>
      </c>
      <c r="F11" s="6">
        <f t="shared" si="0"/>
        <v>-12.054476798844357</v>
      </c>
      <c r="G11" s="6">
        <f t="shared" si="1"/>
        <v>-35.143576796255878</v>
      </c>
      <c r="H11" s="6">
        <f t="shared" ref="H11:I11" si="20">F11*$B$10</f>
        <v>-1.2054476798844358</v>
      </c>
      <c r="I11" s="5">
        <f t="shared" si="20"/>
        <v>-3.5143576796255882</v>
      </c>
    </row>
    <row r="12" spans="1:9" ht="15.75" customHeight="1" x14ac:dyDescent="0.2">
      <c r="A12" s="15" t="s">
        <v>13</v>
      </c>
      <c r="D12" s="12">
        <f t="shared" ref="D12:E12" si="21">D11-H11</f>
        <v>96.017855376856502</v>
      </c>
      <c r="E12" s="12">
        <f t="shared" si="21"/>
        <v>180.37595184311255</v>
      </c>
      <c r="F12" s="6">
        <f t="shared" si="0"/>
        <v>-7.3515158606685436</v>
      </c>
      <c r="G12" s="6">
        <f t="shared" si="1"/>
        <v>-26.829050578461295</v>
      </c>
      <c r="H12" s="6">
        <f t="shared" ref="H12:I12" si="22">F12*$B$10</f>
        <v>-0.73515158606685438</v>
      </c>
      <c r="I12" s="5">
        <f t="shared" si="22"/>
        <v>-2.6829050578461295</v>
      </c>
    </row>
    <row r="13" spans="1:9" ht="15.75" customHeight="1" x14ac:dyDescent="0.2">
      <c r="D13" s="12">
        <f t="shared" ref="D13:E13" si="23">D12-H12</f>
        <v>96.753006962923351</v>
      </c>
      <c r="E13" s="12">
        <f t="shared" si="23"/>
        <v>183.05885690095869</v>
      </c>
      <c r="F13" s="6">
        <f t="shared" si="0"/>
        <v>-3.907755459996423</v>
      </c>
      <c r="G13" s="6">
        <f t="shared" si="1"/>
        <v>-20.679078770964395</v>
      </c>
      <c r="H13" s="6">
        <f t="shared" ref="H13:I13" si="24">F13*$B$10</f>
        <v>-0.39077554599964232</v>
      </c>
      <c r="I13" s="5">
        <f t="shared" si="24"/>
        <v>-2.0679078770964394</v>
      </c>
    </row>
    <row r="14" spans="1:9" ht="15.75" customHeight="1" x14ac:dyDescent="0.2">
      <c r="D14" s="12">
        <f t="shared" ref="D14:E14" si="25">D13-H13</f>
        <v>97.143782508922996</v>
      </c>
      <c r="E14" s="12">
        <f t="shared" si="25"/>
        <v>185.12676477805513</v>
      </c>
      <c r="F14" s="6">
        <f t="shared" si="0"/>
        <v>-1.3926230838438181</v>
      </c>
      <c r="G14" s="6">
        <f t="shared" si="1"/>
        <v>-16.126435767705203</v>
      </c>
      <c r="H14" s="6">
        <f t="shared" ref="H14:I14" si="26">F14*$B$10</f>
        <v>-0.13926230838438181</v>
      </c>
      <c r="I14" s="5">
        <f t="shared" si="26"/>
        <v>-1.6126435767705205</v>
      </c>
    </row>
    <row r="15" spans="1:9" ht="15.75" customHeight="1" x14ac:dyDescent="0.2">
      <c r="D15" s="12">
        <f t="shared" ref="D15:E15" si="27">D14-H14</f>
        <v>97.283044817307385</v>
      </c>
      <c r="E15" s="12">
        <f t="shared" si="27"/>
        <v>186.73940835482566</v>
      </c>
      <c r="F15" s="6">
        <f t="shared" si="0"/>
        <v>0.43777939218239342</v>
      </c>
      <c r="G15" s="6">
        <f t="shared" si="1"/>
        <v>-12.752602151887459</v>
      </c>
      <c r="H15" s="6">
        <f t="shared" ref="H15:I15" si="28">F15*$B$10</f>
        <v>4.3777939218239345E-2</v>
      </c>
      <c r="I15" s="5">
        <f t="shared" si="28"/>
        <v>-1.275260215188746</v>
      </c>
    </row>
    <row r="16" spans="1:9" ht="15.75" customHeight="1" x14ac:dyDescent="0.2">
      <c r="D16" s="12">
        <f t="shared" ref="D16:E16" si="29">D15-H15</f>
        <v>97.23926687808914</v>
      </c>
      <c r="E16" s="12">
        <f t="shared" si="29"/>
        <v>188.01466857001441</v>
      </c>
      <c r="F16" s="6">
        <f t="shared" si="0"/>
        <v>1.7633994198359417</v>
      </c>
      <c r="G16" s="6">
        <f t="shared" si="1"/>
        <v>-10.248778190009432</v>
      </c>
      <c r="H16" s="6">
        <f t="shared" ref="H16:I16" si="30">F16*$B$10</f>
        <v>0.17633994198359418</v>
      </c>
      <c r="I16" s="5">
        <f t="shared" si="30"/>
        <v>-1.0248778190009433</v>
      </c>
    </row>
    <row r="17" spans="4:9" ht="15.75" customHeight="1" x14ac:dyDescent="0.2">
      <c r="D17" s="12">
        <f t="shared" ref="D17:E17" si="31">D16-H16</f>
        <v>97.062926936105541</v>
      </c>
      <c r="E17" s="12">
        <f t="shared" si="31"/>
        <v>189.03954638901536</v>
      </c>
      <c r="F17" s="6">
        <f t="shared" si="0"/>
        <v>2.7169999726999485</v>
      </c>
      <c r="G17" s="6">
        <f t="shared" si="1"/>
        <v>-8.3871184901233562</v>
      </c>
      <c r="H17" s="6">
        <f t="shared" ref="H17:I17" si="32">F17*$B$10</f>
        <v>0.27169999726999489</v>
      </c>
      <c r="I17" s="5">
        <f t="shared" si="32"/>
        <v>-0.83871184901233564</v>
      </c>
    </row>
    <row r="18" spans="4:9" ht="15.75" customHeight="1" x14ac:dyDescent="0.2">
      <c r="D18" s="12">
        <f t="shared" ref="D18:E18" si="33">D17-H17</f>
        <v>96.79122693883555</v>
      </c>
      <c r="E18" s="12">
        <f t="shared" si="33"/>
        <v>189.87825823802768</v>
      </c>
      <c r="F18" s="6">
        <f t="shared" si="0"/>
        <v>3.3965301138076804</v>
      </c>
      <c r="G18" s="6">
        <f t="shared" si="1"/>
        <v>-6.9995081225200408</v>
      </c>
      <c r="H18" s="6">
        <f t="shared" ref="H18:I18" si="34">F18*$B$10</f>
        <v>0.33965301138076809</v>
      </c>
      <c r="I18" s="5">
        <f t="shared" si="34"/>
        <v>-0.69995081225200417</v>
      </c>
    </row>
    <row r="19" spans="4:9" ht="15.75" customHeight="1" x14ac:dyDescent="0.2">
      <c r="D19" s="12">
        <f t="shared" ref="D19:E19" si="35">D18-H18</f>
        <v>96.451573927454788</v>
      </c>
      <c r="E19" s="12">
        <f t="shared" si="35"/>
        <v>190.5782090502797</v>
      </c>
      <c r="F19" s="6">
        <f t="shared" si="0"/>
        <v>3.8742523462000529</v>
      </c>
      <c r="G19" s="6">
        <f t="shared" si="1"/>
        <v>-5.9619030434888316</v>
      </c>
      <c r="H19" s="6">
        <f t="shared" ref="H19:I19" si="36">F19*$B$10</f>
        <v>0.38742523462000533</v>
      </c>
      <c r="I19" s="5">
        <f t="shared" si="36"/>
        <v>-0.5961903043488832</v>
      </c>
    </row>
    <row r="20" spans="4:9" ht="15.75" customHeight="1" x14ac:dyDescent="0.2">
      <c r="D20" s="12">
        <f t="shared" ref="D20:E20" si="37">D19-H19</f>
        <v>96.064148692834777</v>
      </c>
      <c r="E20" s="12">
        <f t="shared" si="37"/>
        <v>191.17439935462858</v>
      </c>
      <c r="F20" s="6">
        <f t="shared" si="0"/>
        <v>4.2034770267646895</v>
      </c>
      <c r="G20" s="6">
        <f t="shared" si="1"/>
        <v>-5.1827760183857379</v>
      </c>
      <c r="H20" s="6">
        <f t="shared" ref="H20:I20" si="38">F20*$B$10</f>
        <v>0.42034770267646898</v>
      </c>
      <c r="I20" s="5">
        <f t="shared" si="38"/>
        <v>-0.51827760183857385</v>
      </c>
    </row>
    <row r="21" spans="4:9" ht="15.75" customHeight="1" x14ac:dyDescent="0.2">
      <c r="D21" s="12">
        <f t="shared" ref="D21:E21" si="39">D20-H20</f>
        <v>95.643800990158311</v>
      </c>
      <c r="E21" s="12">
        <f t="shared" si="39"/>
        <v>191.69267695646715</v>
      </c>
      <c r="F21" s="6">
        <f t="shared" si="0"/>
        <v>4.4235312041069657</v>
      </c>
      <c r="G21" s="6">
        <f t="shared" si="1"/>
        <v>-4.5945916975634873</v>
      </c>
      <c r="H21" s="6">
        <f t="shared" ref="H21:I21" si="40">F21*$B$10</f>
        <v>0.44235312041069658</v>
      </c>
      <c r="I21" s="5">
        <f t="shared" si="40"/>
        <v>-0.45945916975634876</v>
      </c>
    </row>
    <row r="22" spans="4:9" ht="15.75" customHeight="1" x14ac:dyDescent="0.2">
      <c r="D22" s="12">
        <f t="shared" ref="D22:E22" si="41">D21-H21</f>
        <v>95.201447869747611</v>
      </c>
      <c r="E22" s="12">
        <f t="shared" si="41"/>
        <v>192.1521361262235</v>
      </c>
      <c r="F22" s="6">
        <f t="shared" si="0"/>
        <v>4.5634247648552684</v>
      </c>
      <c r="G22" s="6">
        <f t="shared" si="1"/>
        <v>-4.1475166864888706</v>
      </c>
      <c r="H22" s="6">
        <f t="shared" ref="H22:I22" si="42">F22*$B$10</f>
        <v>0.45634247648552684</v>
      </c>
      <c r="I22" s="5">
        <f t="shared" si="42"/>
        <v>-0.41475166864888707</v>
      </c>
    </row>
    <row r="23" spans="4:9" ht="15.75" customHeight="1" x14ac:dyDescent="0.2">
      <c r="D23" s="12">
        <f t="shared" ref="D23:E23" si="43">D22-H22</f>
        <v>94.745105393262079</v>
      </c>
      <c r="E23" s="12">
        <f t="shared" si="43"/>
        <v>192.56688779487237</v>
      </c>
      <c r="F23" s="6">
        <f t="shared" si="0"/>
        <v>4.6445554175296788</v>
      </c>
      <c r="G23" s="6">
        <f t="shared" si="1"/>
        <v>-3.8047786574423696</v>
      </c>
      <c r="H23" s="6">
        <f t="shared" ref="H23:I23" si="44">F23*$B$10</f>
        <v>0.46445554175296788</v>
      </c>
      <c r="I23" s="5">
        <f t="shared" si="44"/>
        <v>-0.38047786574423698</v>
      </c>
    </row>
    <row r="24" spans="4:9" ht="15.75" customHeight="1" x14ac:dyDescent="0.2">
      <c r="D24" s="12">
        <f t="shared" ref="D24:E24" si="45">D23-H23</f>
        <v>94.280649851509111</v>
      </c>
      <c r="E24" s="12">
        <f t="shared" si="45"/>
        <v>192.94736566061661</v>
      </c>
      <c r="F24" s="6">
        <f t="shared" si="0"/>
        <v>4.6827045037690809</v>
      </c>
      <c r="G24" s="6">
        <f t="shared" si="1"/>
        <v>-3.5392421704904109</v>
      </c>
      <c r="H24" s="6">
        <f t="shared" ref="H24:I24" si="46">F24*$B$10</f>
        <v>0.46827045037690812</v>
      </c>
      <c r="I24" s="5">
        <f t="shared" si="46"/>
        <v>-0.35392421704904109</v>
      </c>
    </row>
    <row r="25" spans="4:9" ht="15.75" customHeight="1" x14ac:dyDescent="0.2">
      <c r="D25" s="12">
        <f t="shared" ref="D25:E25" si="47">D24-H24</f>
        <v>93.812379401132205</v>
      </c>
      <c r="E25" s="12">
        <f t="shared" si="47"/>
        <v>193.30128987766565</v>
      </c>
      <c r="F25" s="6">
        <f t="shared" si="0"/>
        <v>4.6895095620730132</v>
      </c>
      <c r="G25" s="6">
        <f t="shared" si="1"/>
        <v>-3.3308822167943504</v>
      </c>
      <c r="H25" s="6">
        <f t="shared" ref="H25:I25" si="48">F25*$B$10</f>
        <v>0.46895095620730132</v>
      </c>
      <c r="I25" s="5">
        <f t="shared" si="48"/>
        <v>-0.33308822167943508</v>
      </c>
    </row>
    <row r="26" spans="4:9" ht="15.75" customHeight="1" x14ac:dyDescent="0.2">
      <c r="D26" s="12">
        <f t="shared" ref="D26:E26" si="49">D25-H25</f>
        <v>93.343428444924911</v>
      </c>
      <c r="E26" s="12">
        <f t="shared" si="49"/>
        <v>193.6343780993451</v>
      </c>
      <c r="F26" s="6">
        <f t="shared" si="0"/>
        <v>4.6735508248670019</v>
      </c>
      <c r="G26" s="6">
        <f t="shared" si="1"/>
        <v>-3.1649201267232172</v>
      </c>
      <c r="H26" s="6">
        <f t="shared" ref="H26:I26" si="50">F26*$B$10</f>
        <v>0.46735508248670021</v>
      </c>
      <c r="I26" s="5">
        <f t="shared" si="50"/>
        <v>-0.31649201267232174</v>
      </c>
    </row>
    <row r="27" spans="4:9" ht="15.75" customHeight="1" x14ac:dyDescent="0.2">
      <c r="D27" s="12">
        <f t="shared" ref="D27:E27" si="51">D26-H26</f>
        <v>92.876073362438206</v>
      </c>
      <c r="E27" s="12">
        <f t="shared" si="51"/>
        <v>193.95087011201741</v>
      </c>
      <c r="F27" s="6">
        <f t="shared" si="0"/>
        <v>4.641152864748828</v>
      </c>
      <c r="G27" s="6">
        <f t="shared" si="1"/>
        <v>-3.0304481893644111</v>
      </c>
      <c r="H27" s="6">
        <f t="shared" ref="H27:I27" si="52">F27*$B$10</f>
        <v>0.46411528647488282</v>
      </c>
      <c r="I27" s="5">
        <f t="shared" si="52"/>
        <v>-0.30304481893644114</v>
      </c>
    </row>
    <row r="28" spans="4:9" ht="15.75" customHeight="1" x14ac:dyDescent="0.2">
      <c r="D28" s="12">
        <f t="shared" ref="D28:E28" si="53">D27-H27</f>
        <v>92.411958075963327</v>
      </c>
      <c r="E28" s="12">
        <f t="shared" si="53"/>
        <v>194.25391493095384</v>
      </c>
      <c r="F28" s="6">
        <f t="shared" si="0"/>
        <v>4.5969760698217375</v>
      </c>
      <c r="G28" s="6">
        <f t="shared" si="1"/>
        <v>-2.9194148570647656</v>
      </c>
      <c r="H28" s="6">
        <f t="shared" ref="H28:I28" si="54">F28*$B$10</f>
        <v>0.45969760698217377</v>
      </c>
      <c r="I28" s="5">
        <f t="shared" si="54"/>
        <v>-0.29194148570647654</v>
      </c>
    </row>
    <row r="29" spans="4:9" ht="15.75" customHeight="1" x14ac:dyDescent="0.2">
      <c r="D29" s="12">
        <f t="shared" ref="D29:E29" si="55">D28-H28</f>
        <v>91.952260468981152</v>
      </c>
      <c r="E29" s="12">
        <f t="shared" si="55"/>
        <v>194.54585641666031</v>
      </c>
      <c r="F29" s="6">
        <f t="shared" si="0"/>
        <v>4.5444530490477568</v>
      </c>
      <c r="G29" s="6">
        <f t="shared" si="1"/>
        <v>-2.8258759997661302</v>
      </c>
      <c r="H29" s="6">
        <f t="shared" ref="H29:I29" si="56">F29*$B$10</f>
        <v>0.45444530490477569</v>
      </c>
      <c r="I29" s="5">
        <f t="shared" si="56"/>
        <v>-0.28258759997661304</v>
      </c>
    </row>
    <row r="30" spans="4:9" ht="15.75" customHeight="1" x14ac:dyDescent="0.2">
      <c r="D30" s="12">
        <f t="shared" ref="D30:E30" si="57">D29-H29</f>
        <v>91.497815164076371</v>
      </c>
      <c r="E30" s="12">
        <f t="shared" si="57"/>
        <v>194.82844401663692</v>
      </c>
      <c r="F30" s="6">
        <f t="shared" si="0"/>
        <v>4.4861106226398437</v>
      </c>
      <c r="G30" s="6">
        <f t="shared" si="1"/>
        <v>-2.7454424583780224</v>
      </c>
      <c r="H30" s="6">
        <f t="shared" ref="H30:I30" si="58">F30*$B$10</f>
        <v>0.44861106226398439</v>
      </c>
      <c r="I30" s="5">
        <f t="shared" si="58"/>
        <v>-0.27454424583780224</v>
      </c>
    </row>
    <row r="31" spans="4:9" ht="15.75" customHeight="1" x14ac:dyDescent="0.2">
      <c r="D31" s="12">
        <f t="shared" ref="D31:E31" si="59">D30-H30</f>
        <v>91.049204101812393</v>
      </c>
      <c r="E31" s="12">
        <f t="shared" si="59"/>
        <v>195.10298826247472</v>
      </c>
      <c r="F31" s="6">
        <f t="shared" si="0"/>
        <v>4.4238073939078459</v>
      </c>
      <c r="G31" s="6">
        <f t="shared" si="1"/>
        <v>-2.6748724331173337</v>
      </c>
      <c r="H31" s="6">
        <f t="shared" ref="H31:I31" si="60">F31*$B$10</f>
        <v>0.44238073939078459</v>
      </c>
      <c r="I31" s="5">
        <f t="shared" si="60"/>
        <v>-0.2674872433117334</v>
      </c>
    </row>
    <row r="32" spans="4:9" ht="15.75" customHeight="1" x14ac:dyDescent="0.2">
      <c r="D32" s="12">
        <f t="shared" ref="D32:E32" si="61">D31-H31</f>
        <v>90.606823362421608</v>
      </c>
      <c r="E32" s="12">
        <f t="shared" si="61"/>
        <v>195.37047550578646</v>
      </c>
      <c r="F32" s="6">
        <f t="shared" si="0"/>
        <v>4.3589090347560102</v>
      </c>
      <c r="G32" s="6">
        <f t="shared" si="1"/>
        <v>-2.611770735177354</v>
      </c>
      <c r="H32" s="6">
        <f t="shared" ref="H32:I32" si="62">F32*$B$10</f>
        <v>0.43589090347560105</v>
      </c>
      <c r="I32" s="5">
        <f t="shared" si="62"/>
        <v>-0.26117707351773539</v>
      </c>
    </row>
    <row r="33" spans="4:9" ht="15.75" customHeight="1" x14ac:dyDescent="0.2">
      <c r="D33" s="12">
        <f t="shared" ref="D33:E33" si="63">D32-H32</f>
        <v>90.170932458946012</v>
      </c>
      <c r="E33" s="12">
        <f t="shared" si="63"/>
        <v>195.63165257930419</v>
      </c>
      <c r="F33" s="6">
        <f t="shared" si="0"/>
        <v>4.292417614590061</v>
      </c>
      <c r="G33" s="6">
        <f t="shared" si="1"/>
        <v>-2.554366885182541</v>
      </c>
      <c r="H33" s="6">
        <f t="shared" ref="H33:I33" si="64">F33*$B$10</f>
        <v>0.42924176145900611</v>
      </c>
      <c r="I33" s="5">
        <f t="shared" si="64"/>
        <v>-0.25543668851825413</v>
      </c>
    </row>
    <row r="34" spans="4:9" ht="15.75" customHeight="1" x14ac:dyDescent="0.2">
      <c r="D34" s="12">
        <f t="shared" ref="D34:E34" si="65">D33-H33</f>
        <v>89.741690697487002</v>
      </c>
      <c r="E34" s="12">
        <f t="shared" si="65"/>
        <v>195.88708926782243</v>
      </c>
      <c r="F34" s="6">
        <f t="shared" si="0"/>
        <v>4.2250670211878099</v>
      </c>
      <c r="G34" s="6">
        <f t="shared" si="1"/>
        <v>-2.5013513870356592</v>
      </c>
      <c r="H34" s="6">
        <f t="shared" ref="H34:I34" si="66">F34*$B$10</f>
        <v>0.422506702118781</v>
      </c>
      <c r="I34" s="5">
        <f t="shared" si="66"/>
        <v>-0.25013513870356591</v>
      </c>
    </row>
    <row r="35" spans="4:9" ht="15.75" customHeight="1" x14ac:dyDescent="0.2">
      <c r="D35" s="12">
        <f t="shared" ref="D35:E35" si="67">D34-H34</f>
        <v>89.319183995368221</v>
      </c>
      <c r="E35" s="12">
        <f t="shared" si="67"/>
        <v>196.137224406526</v>
      </c>
      <c r="F35" s="6">
        <f t="shared" si="0"/>
        <v>4.1573933632942577</v>
      </c>
      <c r="G35" s="6">
        <f t="shared" si="1"/>
        <v>-2.4517549252218771</v>
      </c>
      <c r="H35" s="6">
        <f t="shared" ref="H35:I35" si="68">F35*$B$10</f>
        <v>0.41573933632942578</v>
      </c>
      <c r="I35" s="5">
        <f t="shared" si="68"/>
        <v>-0.24517549252218773</v>
      </c>
    </row>
    <row r="36" spans="4:9" ht="15.75" customHeight="1" x14ac:dyDescent="0.2">
      <c r="D36" s="12">
        <f t="shared" ref="D36:E36" si="69">D35-H35</f>
        <v>88.903444659038797</v>
      </c>
      <c r="E36" s="12">
        <f t="shared" si="69"/>
        <v>196.38239989904818</v>
      </c>
      <c r="F36" s="6">
        <f t="shared" si="0"/>
        <v>4.0897869140571155</v>
      </c>
      <c r="G36" s="6">
        <f t="shared" si="1"/>
        <v>-2.4048592322622442</v>
      </c>
      <c r="H36" s="6">
        <f t="shared" ref="H36:I36" si="70">F36*$B$10</f>
        <v>0.40897869140571158</v>
      </c>
      <c r="I36" s="5">
        <f t="shared" si="70"/>
        <v>-0.24048592322622442</v>
      </c>
    </row>
    <row r="37" spans="4:9" ht="15.75" customHeight="1" x14ac:dyDescent="0.2">
      <c r="D37" s="12">
        <f t="shared" ref="D37:E37" si="71">D36-H36</f>
        <v>88.49446596763309</v>
      </c>
      <c r="E37" s="12">
        <f t="shared" si="71"/>
        <v>196.62288582227441</v>
      </c>
      <c r="F37" s="6">
        <f t="shared" si="0"/>
        <v>4.0225304348022384</v>
      </c>
      <c r="G37" s="6">
        <f t="shared" si="1"/>
        <v>-2.3601313233092087</v>
      </c>
      <c r="H37" s="6">
        <f t="shared" ref="H37:I37" si="72">F37*$B$10</f>
        <v>0.40225304348022384</v>
      </c>
      <c r="I37" s="5">
        <f t="shared" si="72"/>
        <v>-0.23601313233092089</v>
      </c>
    </row>
    <row r="38" spans="4:9" ht="12.75" x14ac:dyDescent="0.2">
      <c r="D38" s="12">
        <f t="shared" ref="D38:E38" si="73">D37-H37</f>
        <v>88.092212924152861</v>
      </c>
      <c r="E38" s="12">
        <f t="shared" si="73"/>
        <v>196.85889895460534</v>
      </c>
      <c r="F38" s="6">
        <f t="shared" si="0"/>
        <v>3.9558274498666983</v>
      </c>
      <c r="G38" s="6">
        <f t="shared" si="1"/>
        <v>-2.3171749716929542</v>
      </c>
      <c r="H38" s="6">
        <f t="shared" ref="H38:I38" si="74">F38*$B$10</f>
        <v>0.39558274498666984</v>
      </c>
      <c r="I38" s="5">
        <f t="shared" si="74"/>
        <v>-0.23171749716929543</v>
      </c>
    </row>
    <row r="39" spans="4:9" ht="12.75" x14ac:dyDescent="0.2">
      <c r="D39" s="12">
        <f t="shared" ref="D39:E39" si="75">D38-H38</f>
        <v>87.696630179166192</v>
      </c>
      <c r="E39" s="12">
        <f t="shared" si="75"/>
        <v>197.09061645177462</v>
      </c>
      <c r="F39" s="6">
        <f t="shared" si="0"/>
        <v>3.8898231070661549</v>
      </c>
      <c r="G39" s="6">
        <f t="shared" si="1"/>
        <v>-2.2756949053401643</v>
      </c>
      <c r="H39" s="6">
        <f t="shared" ref="H39:I39" si="76">F39*$B$10</f>
        <v>0.38898231070661549</v>
      </c>
      <c r="I39" s="5">
        <f t="shared" si="76"/>
        <v>-0.22756949053401643</v>
      </c>
    </row>
    <row r="40" spans="4:9" ht="12.75" x14ac:dyDescent="0.2">
      <c r="D40" s="12">
        <f t="shared" ref="D40:E40" si="77">D39-H39</f>
        <v>87.307647868459583</v>
      </c>
      <c r="E40" s="12">
        <f t="shared" si="77"/>
        <v>197.31818594230865</v>
      </c>
      <c r="F40" s="6">
        <f t="shared" si="0"/>
        <v>3.8246195676597097</v>
      </c>
      <c r="G40" s="6">
        <f t="shared" si="1"/>
        <v>-2.2354703890258349</v>
      </c>
      <c r="H40" s="6">
        <f t="shared" ref="H40:I40" si="78">F40*$B$10</f>
        <v>0.382461956765971</v>
      </c>
      <c r="I40" s="5">
        <f t="shared" si="78"/>
        <v>-0.22354703890258351</v>
      </c>
    </row>
    <row r="41" spans="4:9" ht="12.75" x14ac:dyDescent="0.2">
      <c r="D41" s="12">
        <f t="shared" ref="D41:E41" si="79">D40-H40</f>
        <v>86.925185911693617</v>
      </c>
      <c r="E41" s="12">
        <f t="shared" si="79"/>
        <v>197.54173298121123</v>
      </c>
      <c r="F41" s="6">
        <f t="shared" si="0"/>
        <v>3.7602873600494258</v>
      </c>
      <c r="G41" s="6">
        <f t="shared" si="1"/>
        <v>-2.1963357317710193</v>
      </c>
      <c r="H41" s="6">
        <f t="shared" ref="H41:I41" si="80">F41*$B$10</f>
        <v>0.37602873600494258</v>
      </c>
      <c r="I41" s="5">
        <f t="shared" si="80"/>
        <v>-0.21963357317710194</v>
      </c>
    </row>
    <row r="42" spans="4:9" ht="12.75" x14ac:dyDescent="0.2">
      <c r="D42" s="12">
        <f t="shared" ref="D42:E42" si="81">D41-H41</f>
        <v>86.549157175688677</v>
      </c>
      <c r="E42" s="12">
        <f t="shared" si="81"/>
        <v>197.76136655438833</v>
      </c>
      <c r="F42" s="6">
        <f t="shared" si="0"/>
        <v>3.6968737554344266</v>
      </c>
      <c r="G42" s="6">
        <f t="shared" si="1"/>
        <v>-2.1581659038220757</v>
      </c>
      <c r="H42" s="6">
        <f t="shared" ref="H42:I42" si="82">F42*$B$10</f>
        <v>0.36968737554344266</v>
      </c>
      <c r="I42" s="5">
        <f t="shared" si="82"/>
        <v>-0.21581659038220757</v>
      </c>
    </row>
    <row r="43" spans="4:9" ht="12.75" x14ac:dyDescent="0.2">
      <c r="D43" s="12">
        <f t="shared" ref="D43:E43" si="83">D42-H42</f>
        <v>86.179469800145228</v>
      </c>
      <c r="E43" s="12">
        <f t="shared" si="83"/>
        <v>197.97718314477055</v>
      </c>
      <c r="F43" s="6">
        <f t="shared" si="0"/>
        <v>3.6344089462035543</v>
      </c>
      <c r="G43" s="6">
        <f t="shared" si="1"/>
        <v>-2.1208659236373344</v>
      </c>
      <c r="H43" s="6">
        <f t="shared" ref="H43:I43" si="84">F43*$B$10</f>
        <v>0.36344089462035545</v>
      </c>
      <c r="I43" s="5">
        <f t="shared" si="84"/>
        <v>-0.21208659236373345</v>
      </c>
    </row>
    <row r="44" spans="4:9" ht="12.75" x14ac:dyDescent="0.2">
      <c r="D44" s="12">
        <f t="shared" ref="D44:E44" si="85">D43-H43</f>
        <v>85.816028905524874</v>
      </c>
      <c r="E44" s="12">
        <f t="shared" si="85"/>
        <v>198.18926973713428</v>
      </c>
      <c r="F44" s="6">
        <f t="shared" si="0"/>
        <v>3.5729106031504334</v>
      </c>
      <c r="G44" s="6">
        <f t="shared" si="1"/>
        <v>-2.084363026504898</v>
      </c>
      <c r="H44" s="6">
        <f t="shared" ref="H44:I44" si="86">F44*$B$10</f>
        <v>0.35729106031504337</v>
      </c>
      <c r="I44" s="5">
        <f t="shared" si="86"/>
        <v>-0.20843630265048982</v>
      </c>
    </row>
    <row r="45" spans="4:9" ht="12.75" x14ac:dyDescent="0.2">
      <c r="D45" s="12">
        <f t="shared" ref="D45:E45" si="87">D44-H44</f>
        <v>85.458737845209825</v>
      </c>
      <c r="E45" s="12">
        <f t="shared" si="87"/>
        <v>198.39770603978477</v>
      </c>
      <c r="F45" s="6">
        <f t="shared" si="0"/>
        <v>3.5123872365615201</v>
      </c>
      <c r="G45" s="6">
        <f t="shared" si="1"/>
        <v>-2.0486008855399973</v>
      </c>
      <c r="H45" s="6">
        <f t="shared" ref="H45:I45" si="88">F45*$B$10</f>
        <v>0.35123872365615205</v>
      </c>
      <c r="I45" s="5">
        <f t="shared" si="88"/>
        <v>-0.20486008855399973</v>
      </c>
    </row>
    <row r="46" spans="4:9" ht="12.75" x14ac:dyDescent="0.2">
      <c r="D46" s="12">
        <f t="shared" ref="D46:E46" si="89">D45-H45</f>
        <v>85.107499121553673</v>
      </c>
      <c r="E46" s="12">
        <f t="shared" si="89"/>
        <v>198.60256612833876</v>
      </c>
      <c r="F46" s="6">
        <f t="shared" si="0"/>
        <v>3.4528406747913327</v>
      </c>
      <c r="G46" s="6">
        <f t="shared" si="1"/>
        <v>-2.0135353469985562</v>
      </c>
      <c r="H46" s="6">
        <f t="shared" ref="H46:I46" si="90">F46*$B$10</f>
        <v>0.34528406747913332</v>
      </c>
      <c r="I46" s="5">
        <f t="shared" si="90"/>
        <v>-0.20135353469985562</v>
      </c>
    </row>
    <row r="47" spans="4:9" ht="12.75" x14ac:dyDescent="0.2">
      <c r="D47" s="12">
        <f t="shared" ref="D47:E47" si="91">D46-H46</f>
        <v>84.762215054074545</v>
      </c>
      <c r="E47" s="12">
        <f t="shared" si="91"/>
        <v>198.80391966303861</v>
      </c>
      <c r="F47" s="6">
        <f t="shared" si="0"/>
        <v>3.3942678917168778</v>
      </c>
      <c r="G47" s="6">
        <f t="shared" si="1"/>
        <v>-1.9791312829099184</v>
      </c>
      <c r="H47" s="6">
        <f t="shared" ref="H47:I47" si="92">F47*$B$10</f>
        <v>0.33942678917168778</v>
      </c>
      <c r="I47" s="5">
        <f t="shared" si="92"/>
        <v>-0.19791312829099184</v>
      </c>
    </row>
    <row r="48" spans="4:9" ht="12.75" x14ac:dyDescent="0.2">
      <c r="D48" s="12">
        <f t="shared" ref="D48:E48" si="93">D47-H47</f>
        <v>84.422788264902863</v>
      </c>
      <c r="E48" s="12">
        <f t="shared" si="93"/>
        <v>199.0018327913296</v>
      </c>
      <c r="F48" s="6">
        <f t="shared" si="0"/>
        <v>3.3366623537996802</v>
      </c>
      <c r="G48" s="6">
        <f t="shared" si="1"/>
        <v>-1.9453602681110642</v>
      </c>
      <c r="H48" s="6">
        <f t="shared" ref="H48:I48" si="94">F48*$B$10</f>
        <v>0.33366623537996803</v>
      </c>
      <c r="I48" s="5">
        <f t="shared" si="94"/>
        <v>-0.19453602681110643</v>
      </c>
    </row>
    <row r="49" spans="4:9" ht="12.75" x14ac:dyDescent="0.2">
      <c r="D49" s="12">
        <f t="shared" ref="D49:E49" si="95">D48-H48</f>
        <v>84.089122029522898</v>
      </c>
      <c r="E49" s="12">
        <f t="shared" si="95"/>
        <v>199.19636881814071</v>
      </c>
      <c r="F49" s="6">
        <f t="shared" si="0"/>
        <v>3.2800150127223846</v>
      </c>
      <c r="G49" s="6">
        <f t="shared" si="1"/>
        <v>-1.91219886556082</v>
      </c>
      <c r="H49" s="6">
        <f t="shared" ref="H49:I49" si="96">F49*$B$10</f>
        <v>0.32800150127223848</v>
      </c>
      <c r="I49" s="5">
        <f t="shared" si="96"/>
        <v>-0.19121988655608202</v>
      </c>
    </row>
    <row r="50" spans="4:9" ht="12.75" x14ac:dyDescent="0.2">
      <c r="D50" s="12">
        <f t="shared" ref="D50:E50" si="97">D49-H49</f>
        <v>83.761120528250657</v>
      </c>
      <c r="E50" s="12">
        <f t="shared" si="97"/>
        <v>199.38758870469678</v>
      </c>
      <c r="F50" s="6">
        <f t="shared" si="0"/>
        <v>3.2243150365416726</v>
      </c>
      <c r="G50" s="6">
        <f t="shared" si="1"/>
        <v>-1.8796273604723979</v>
      </c>
      <c r="H50" s="6">
        <f t="shared" ref="H50:I50" si="98">F50*$B$10</f>
        <v>0.32243150365416728</v>
      </c>
      <c r="I50" s="5">
        <f t="shared" si="98"/>
        <v>-0.18796273604723979</v>
      </c>
    </row>
    <row r="51" spans="4:9" ht="12.75" x14ac:dyDescent="0.2">
      <c r="D51" s="12">
        <f t="shared" ref="D51:E51" si="99">D50-H50</f>
        <v>83.438689024596485</v>
      </c>
      <c r="E51" s="12">
        <f t="shared" si="99"/>
        <v>199.57555144074402</v>
      </c>
      <c r="F51" s="6">
        <f t="shared" si="0"/>
        <v>3.1695503479325091</v>
      </c>
      <c r="G51" s="6">
        <f t="shared" si="1"/>
        <v>-1.8476288256090356</v>
      </c>
      <c r="H51" s="6">
        <f t="shared" ref="H51:I51" si="100">F51*$B$10</f>
        <v>0.31695503479325093</v>
      </c>
      <c r="I51" s="5">
        <f t="shared" si="100"/>
        <v>-0.18476288256090356</v>
      </c>
    </row>
    <row r="52" spans="4:9" ht="12.75" x14ac:dyDescent="0.2">
      <c r="D52" s="12">
        <f t="shared" ref="D52:E52" si="101">D51-H51</f>
        <v>83.121733989803232</v>
      </c>
      <c r="E52" s="12">
        <f t="shared" si="101"/>
        <v>199.76031432330493</v>
      </c>
      <c r="F52" s="6">
        <f t="shared" si="0"/>
        <v>3.1157080201194773</v>
      </c>
      <c r="G52" s="6">
        <f t="shared" si="1"/>
        <v>-1.8161884309333705</v>
      </c>
      <c r="H52" s="6">
        <f t="shared" ref="H52:I52" si="102">F52*$B$10</f>
        <v>0.31157080201194776</v>
      </c>
      <c r="I52" s="5">
        <f t="shared" si="102"/>
        <v>-0.18161884309333706</v>
      </c>
    </row>
    <row r="53" spans="4:9" ht="12.75" x14ac:dyDescent="0.2">
      <c r="D53" s="12">
        <f t="shared" ref="D53:E53" si="103">D52-H52</f>
        <v>82.810163187791289</v>
      </c>
      <c r="E53" s="12">
        <f t="shared" si="103"/>
        <v>199.94193316639826</v>
      </c>
      <c r="F53" s="6">
        <f t="shared" si="0"/>
        <v>3.0627745678262626</v>
      </c>
      <c r="G53" s="6">
        <f t="shared" si="1"/>
        <v>-1.7852929335594183</v>
      </c>
      <c r="H53" s="6">
        <f t="shared" ref="H53:I53" si="104">F53*$B$10</f>
        <v>0.3062774567826263</v>
      </c>
      <c r="I53" s="5">
        <f t="shared" si="104"/>
        <v>-0.17852929335594184</v>
      </c>
    </row>
    <row r="54" spans="4:9" ht="12.75" x14ac:dyDescent="0.2">
      <c r="D54" s="12">
        <f t="shared" ref="D54:E54" si="105">D53-H53</f>
        <v>82.503885731008666</v>
      </c>
      <c r="E54" s="12">
        <f t="shared" si="105"/>
        <v>200.12046245975421</v>
      </c>
      <c r="F54" s="6">
        <f t="shared" si="0"/>
        <v>3.0107361607863439</v>
      </c>
      <c r="G54" s="6">
        <f t="shared" si="1"/>
        <v>-1.7549303007490096</v>
      </c>
      <c r="H54" s="6">
        <f t="shared" ref="H54:I54" si="106">F54*$B$10</f>
        <v>0.30107361607863442</v>
      </c>
      <c r="I54" s="5">
        <f t="shared" si="106"/>
        <v>-0.17549303007490097</v>
      </c>
    </row>
    <row r="55" spans="4:9" ht="12.75" x14ac:dyDescent="0.2">
      <c r="D55" s="12">
        <f t="shared" ref="D55:E55" si="107">D54-H54</f>
        <v>82.202812114930026</v>
      </c>
      <c r="E55" s="12">
        <f t="shared" si="107"/>
        <v>200.29595548982911</v>
      </c>
      <c r="F55" s="6">
        <f t="shared" si="0"/>
        <v>2.9595787801373086</v>
      </c>
      <c r="G55" s="6">
        <f t="shared" si="1"/>
        <v>-1.7250894310831009</v>
      </c>
      <c r="H55" s="6">
        <f t="shared" ref="H55:I55" si="108">F55*$B$10</f>
        <v>0.29595787801373086</v>
      </c>
      <c r="I55" s="5">
        <f t="shared" si="108"/>
        <v>-0.17250894310831011</v>
      </c>
    </row>
    <row r="56" spans="4:9" ht="12.75" x14ac:dyDescent="0.2">
      <c r="D56" s="12">
        <f t="shared" ref="D56:E56" si="109">D55-H55</f>
        <v>81.906854236916288</v>
      </c>
      <c r="E56" s="12">
        <f t="shared" si="109"/>
        <v>200.46846443293742</v>
      </c>
      <c r="F56" s="6">
        <f t="shared" si="0"/>
        <v>2.9092883326919652</v>
      </c>
      <c r="G56" s="6">
        <f t="shared" si="1"/>
        <v>-1.6957599480811325</v>
      </c>
      <c r="H56" s="6">
        <f t="shared" ref="H56:I56" si="110">F56*$B$10</f>
        <v>0.29092883326919655</v>
      </c>
      <c r="I56" s="5">
        <f t="shared" si="110"/>
        <v>-0.16957599480811325</v>
      </c>
    </row>
    <row r="57" spans="4:9" ht="12.75" x14ac:dyDescent="0.2">
      <c r="D57" s="12">
        <f t="shared" ref="D57:E57" si="111">D56-H56</f>
        <v>81.615925403647097</v>
      </c>
      <c r="E57" s="12">
        <f t="shared" si="111"/>
        <v>200.63804042774552</v>
      </c>
      <c r="F57" s="6">
        <f t="shared" si="0"/>
        <v>2.8598507341491777</v>
      </c>
      <c r="G57" s="6">
        <f t="shared" si="1"/>
        <v>-1.6669320472853806</v>
      </c>
      <c r="H57" s="6">
        <f t="shared" ref="H57:I57" si="112">F57*$B$10</f>
        <v>0.2859850734149178</v>
      </c>
      <c r="I57" s="5">
        <f t="shared" si="112"/>
        <v>-0.16669320472853807</v>
      </c>
    </row>
    <row r="58" spans="4:9" ht="12.75" x14ac:dyDescent="0.2">
      <c r="D58" s="12">
        <f t="shared" ref="D58:E58" si="113">D57-H57</f>
        <v>81.329940330232176</v>
      </c>
      <c r="E58" s="12">
        <f t="shared" si="113"/>
        <v>200.80473363247407</v>
      </c>
      <c r="F58" s="6">
        <f t="shared" si="0"/>
        <v>2.8112519694061491</v>
      </c>
      <c r="G58" s="6">
        <f t="shared" si="1"/>
        <v>-1.6385963828042045</v>
      </c>
      <c r="H58" s="6">
        <f t="shared" ref="H58:I58" si="114">F58*$B$10</f>
        <v>0.28112519694061494</v>
      </c>
      <c r="I58" s="5">
        <f t="shared" si="114"/>
        <v>-0.16385963828042047</v>
      </c>
    </row>
    <row r="59" spans="4:9" ht="12.75" x14ac:dyDescent="0.2">
      <c r="D59" s="12">
        <f t="shared" ref="D59:E59" si="115">D58-H58</f>
        <v>81.048815133291555</v>
      </c>
      <c r="E59" s="12">
        <f t="shared" si="115"/>
        <v>200.9685932707545</v>
      </c>
      <c r="F59" s="6">
        <f t="shared" si="0"/>
        <v>2.7634781359939362</v>
      </c>
      <c r="G59" s="6">
        <f t="shared" si="1"/>
        <v>-1.6107439829800207</v>
      </c>
      <c r="H59" s="6">
        <f t="shared" ref="H59:I59" si="116">F59*$B$10</f>
        <v>0.27634781359939364</v>
      </c>
      <c r="I59" s="5">
        <f t="shared" si="116"/>
        <v>-0.16107439829800207</v>
      </c>
    </row>
    <row r="60" spans="4:9" ht="12.75" x14ac:dyDescent="0.2">
      <c r="D60" s="12">
        <f t="shared" ref="D60:E60" si="117">D59-H59</f>
        <v>80.772467319692154</v>
      </c>
      <c r="E60" s="12">
        <f t="shared" si="117"/>
        <v>201.12966766905251</v>
      </c>
      <c r="F60" s="6">
        <f t="shared" si="0"/>
        <v>2.7165154750789631</v>
      </c>
      <c r="G60" s="6">
        <f t="shared" si="1"/>
        <v>-1.5833661875566822</v>
      </c>
      <c r="H60" s="6">
        <f t="shared" ref="H60:I60" si="118">F60*$B$10</f>
        <v>0.27165154750789633</v>
      </c>
      <c r="I60" s="5">
        <f t="shared" si="118"/>
        <v>-0.15833661875566823</v>
      </c>
    </row>
    <row r="61" spans="4:9" ht="12.75" x14ac:dyDescent="0.2">
      <c r="D61" s="12">
        <f t="shared" ref="D61:E61" si="119">D60-H60</f>
        <v>80.500815772184254</v>
      </c>
      <c r="E61" s="12">
        <f t="shared" si="119"/>
        <v>201.28800428780818</v>
      </c>
      <c r="F61" s="6">
        <f t="shared" si="0"/>
        <v>2.670350393307924</v>
      </c>
      <c r="G61" s="6">
        <f t="shared" si="1"/>
        <v>-1.5564546007204378</v>
      </c>
      <c r="H61" s="6">
        <f t="shared" ref="H61:I61" si="120">F61*$B$10</f>
        <v>0.26703503933079242</v>
      </c>
      <c r="I61" s="5">
        <f t="shared" si="120"/>
        <v>-0.1556454600720438</v>
      </c>
    </row>
    <row r="62" spans="4:9" ht="12.75" x14ac:dyDescent="0.2">
      <c r="D62" s="12">
        <f t="shared" ref="D62:E62" si="121">D61-H61</f>
        <v>80.233780732853461</v>
      </c>
      <c r="E62" s="12">
        <f t="shared" si="121"/>
        <v>201.44364974788022</v>
      </c>
      <c r="F62" s="6">
        <f t="shared" si="0"/>
        <v>2.6249694779145658</v>
      </c>
      <c r="G62" s="6">
        <f t="shared" si="1"/>
        <v>-1.5300010558625274</v>
      </c>
      <c r="H62" s="6">
        <f t="shared" ref="H62:I62" si="122">F62*$B$10</f>
        <v>0.2624969477914566</v>
      </c>
      <c r="I62" s="5">
        <f t="shared" si="122"/>
        <v>-0.15300010558625277</v>
      </c>
    </row>
    <row r="63" spans="4:9" ht="12.75" x14ac:dyDescent="0.2">
      <c r="D63" s="12">
        <f t="shared" ref="D63:E63" si="123">D62-H62</f>
        <v>79.971283785061999</v>
      </c>
      <c r="E63" s="12">
        <f t="shared" si="123"/>
        <v>201.59664985346646</v>
      </c>
      <c r="F63" s="6">
        <f t="shared" si="0"/>
        <v>2.5803595068716447</v>
      </c>
      <c r="G63" s="6">
        <f t="shared" si="1"/>
        <v>-1.5039975890009409</v>
      </c>
      <c r="H63" s="6">
        <f t="shared" ref="H63:I63" si="124">F63*$B$10</f>
        <v>0.25803595068716451</v>
      </c>
      <c r="I63" s="5">
        <f t="shared" si="124"/>
        <v>-0.1503997589000941</v>
      </c>
    </row>
    <row r="64" spans="4:9" ht="12.75" x14ac:dyDescent="0.2">
      <c r="D64" s="12">
        <f t="shared" ref="D64:E64" si="125">D63-H63</f>
        <v>79.71324783437484</v>
      </c>
      <c r="E64" s="12">
        <f t="shared" si="125"/>
        <v>201.74704961236657</v>
      </c>
      <c r="F64" s="6">
        <f t="shared" si="0"/>
        <v>2.53650745540441</v>
      </c>
      <c r="G64" s="6">
        <f t="shared" si="1"/>
        <v>-1.4784364186003813</v>
      </c>
      <c r="H64" s="6">
        <f t="shared" ref="H64:I64" si="126">F64*$B$10</f>
        <v>0.25365074554044104</v>
      </c>
      <c r="I64" s="5">
        <f t="shared" si="126"/>
        <v>-0.14784364186003815</v>
      </c>
    </row>
    <row r="65" spans="4:9" ht="12.75" x14ac:dyDescent="0.2">
      <c r="D65" s="12">
        <f t="shared" ref="D65:E65" si="127">D64-H64</f>
        <v>79.4595970888344</v>
      </c>
      <c r="E65" s="12">
        <f t="shared" si="127"/>
        <v>201.89489325422662</v>
      </c>
      <c r="F65" s="6">
        <f t="shared" si="0"/>
        <v>2.4934004998356185</v>
      </c>
      <c r="G65" s="6">
        <f t="shared" si="1"/>
        <v>-1.4533099301234149</v>
      </c>
      <c r="H65" s="6">
        <f t="shared" ref="H65:I65" si="128">F65*$B$10</f>
        <v>0.24934004998356185</v>
      </c>
      <c r="I65" s="5">
        <f t="shared" si="128"/>
        <v>-0.14533099301234151</v>
      </c>
    </row>
    <row r="66" spans="4:9" ht="12.75" x14ac:dyDescent="0.2">
      <c r="D66" s="12">
        <f t="shared" ref="D66:E66" si="129">D65-H65</f>
        <v>79.210257038850841</v>
      </c>
      <c r="E66" s="12">
        <f t="shared" si="129"/>
        <v>202.04022424723897</v>
      </c>
      <c r="F66" s="6">
        <f t="shared" si="0"/>
        <v>2.4510260194784674</v>
      </c>
      <c r="G66" s="6">
        <f t="shared" si="1"/>
        <v>-1.4286106640811813</v>
      </c>
      <c r="H66" s="6">
        <f t="shared" ref="H66:I66" si="130">F66*$B$10</f>
        <v>0.24510260194784675</v>
      </c>
      <c r="I66" s="5">
        <f t="shared" si="130"/>
        <v>-0.14286106640811813</v>
      </c>
    </row>
    <row r="67" spans="4:9" ht="12.75" x14ac:dyDescent="0.2">
      <c r="D67" s="12">
        <f t="shared" ref="D67:E67" si="131">D66-H66</f>
        <v>78.965154436902992</v>
      </c>
      <c r="E67" s="12">
        <f t="shared" si="131"/>
        <v>202.1830853136471</v>
      </c>
      <c r="F67" s="6">
        <f t="shared" si="0"/>
        <v>2.4093715971051055</v>
      </c>
      <c r="G67" s="6">
        <f t="shared" si="1"/>
        <v>-1.4043313066759424</v>
      </c>
      <c r="H67" s="6">
        <f t="shared" ref="H67:I67" si="132">F67*$B$10</f>
        <v>0.24093715971051055</v>
      </c>
      <c r="I67" s="5">
        <f t="shared" si="132"/>
        <v>-0.14043313066759425</v>
      </c>
    </row>
    <row r="68" spans="4:9" ht="12.75" x14ac:dyDescent="0.2">
      <c r="D68" s="12">
        <f t="shared" ref="D68:E68" si="133">D67-H67</f>
        <v>78.72421727719248</v>
      </c>
      <c r="E68" s="12">
        <f t="shared" si="133"/>
        <v>202.32351844431469</v>
      </c>
      <c r="F68" s="6">
        <f t="shared" si="0"/>
        <v>2.368425018379702</v>
      </c>
      <c r="G68" s="6">
        <f t="shared" si="1"/>
        <v>-1.3804646823653286</v>
      </c>
      <c r="H68" s="6">
        <f t="shared" ref="H68:I68" si="134">F68*$B$10</f>
        <v>0.2368425018379702</v>
      </c>
      <c r="I68" s="5">
        <f t="shared" si="134"/>
        <v>-0.13804646823653285</v>
      </c>
    </row>
    <row r="69" spans="4:9" ht="12.75" x14ac:dyDescent="0.2">
      <c r="D69" s="12">
        <f t="shared" ref="D69:E69" si="135">D68-H68</f>
        <v>78.48737477535451</v>
      </c>
      <c r="E69" s="12">
        <f t="shared" si="135"/>
        <v>202.46156491255121</v>
      </c>
      <c r="F69" s="6">
        <f t="shared" si="0"/>
        <v>2.3281742705436281</v>
      </c>
      <c r="G69" s="6">
        <f t="shared" si="1"/>
        <v>-1.3570037478527486</v>
      </c>
      <c r="H69" s="6">
        <f t="shared" ref="H69:I69" si="136">F69*$B$10</f>
        <v>0.23281742705436281</v>
      </c>
      <c r="I69" s="5">
        <f t="shared" si="136"/>
        <v>-0.13570037478527486</v>
      </c>
    </row>
    <row r="70" spans="4:9" ht="12.75" x14ac:dyDescent="0.2">
      <c r="D70" s="12">
        <f t="shared" ref="D70:E70" si="137">D69-H69</f>
        <v>78.254557348300153</v>
      </c>
      <c r="E70" s="12">
        <f t="shared" si="137"/>
        <v>202.59726528733648</v>
      </c>
      <c r="F70" s="6">
        <f t="shared" si="0"/>
        <v>2.2886075405631985</v>
      </c>
      <c r="G70" s="6">
        <f t="shared" si="1"/>
        <v>-1.3339415871402025</v>
      </c>
      <c r="H70" s="6">
        <f t="shared" ref="H70:I70" si="138">F70*$B$10</f>
        <v>0.22886075405631987</v>
      </c>
      <c r="I70" s="5">
        <f t="shared" si="138"/>
        <v>-0.13339415871402024</v>
      </c>
    </row>
    <row r="71" spans="4:9" ht="12.75" x14ac:dyDescent="0.2">
      <c r="D71" s="12">
        <f t="shared" ref="D71:E71" si="139">D70-H70</f>
        <v>78.02569659424384</v>
      </c>
      <c r="E71" s="12">
        <f t="shared" si="139"/>
        <v>202.73065944605051</v>
      </c>
      <c r="F71" s="6">
        <f t="shared" si="0"/>
        <v>2.2497132128969075</v>
      </c>
      <c r="G71" s="6">
        <f t="shared" si="1"/>
        <v>-1.3112714073722316</v>
      </c>
      <c r="H71" s="6">
        <f t="shared" ref="H71:I71" si="140">F71*$B$10</f>
        <v>0.22497132128969077</v>
      </c>
      <c r="I71" s="5">
        <f t="shared" si="140"/>
        <v>-0.13112714073722317</v>
      </c>
    </row>
    <row r="72" spans="4:9" ht="12.75" x14ac:dyDescent="0.2">
      <c r="D72" s="12">
        <f t="shared" ref="D72:E72" si="141">D71-H71</f>
        <v>77.800725272954153</v>
      </c>
      <c r="E72" s="12">
        <f t="shared" si="141"/>
        <v>202.86178658678773</v>
      </c>
      <c r="F72" s="6">
        <f t="shared" si="0"/>
        <v>2.2114798669956182</v>
      </c>
      <c r="G72" s="6">
        <f t="shared" si="1"/>
        <v>-1.2889865352734375</v>
      </c>
      <c r="H72" s="6">
        <f t="shared" ref="H72:I72" si="142">F72*$B$10</f>
        <v>0.22114798669956182</v>
      </c>
      <c r="I72" s="5">
        <f t="shared" si="142"/>
        <v>-0.12889865352734375</v>
      </c>
    </row>
    <row r="73" spans="4:9" ht="12.75" x14ac:dyDescent="0.2">
      <c r="D73" s="12">
        <f t="shared" ref="D73:E73" si="143">D72-H72</f>
        <v>77.57957728625459</v>
      </c>
      <c r="E73" s="12">
        <f t="shared" si="143"/>
        <v>202.99068524031509</v>
      </c>
      <c r="F73" s="6">
        <f t="shared" si="0"/>
        <v>2.1738962746209602</v>
      </c>
      <c r="G73" s="6">
        <f t="shared" si="1"/>
        <v>-1.2670804140316154</v>
      </c>
      <c r="H73" s="6">
        <f t="shared" ref="H73:I73" si="144">F73*$B$10</f>
        <v>0.21738962746209603</v>
      </c>
      <c r="I73" s="5">
        <f t="shared" si="144"/>
        <v>-0.12670804140316155</v>
      </c>
    </row>
    <row r="74" spans="4:9" ht="12.75" x14ac:dyDescent="0.2">
      <c r="D74" s="12">
        <f t="shared" ref="D74:E74" si="145">D73-H73</f>
        <v>77.362187658792493</v>
      </c>
      <c r="E74" s="12">
        <f t="shared" si="145"/>
        <v>203.11739328171825</v>
      </c>
      <c r="F74" s="6">
        <f t="shared" si="0"/>
        <v>2.136951397043525</v>
      </c>
      <c r="G74" s="6">
        <f t="shared" si="1"/>
        <v>-1.245546600518177</v>
      </c>
      <c r="H74" s="6">
        <f t="shared" ref="H74:I74" si="146">F74*$B$10</f>
        <v>0.2136951397043525</v>
      </c>
      <c r="I74" s="5">
        <f t="shared" si="146"/>
        <v>-0.1245546600518177</v>
      </c>
    </row>
    <row r="75" spans="4:9" ht="12.75" x14ac:dyDescent="0.2">
      <c r="D75" s="12">
        <f t="shared" ref="D75:E75" si="147">D74-H74</f>
        <v>77.148492519088137</v>
      </c>
      <c r="E75" s="12">
        <f t="shared" si="147"/>
        <v>203.24194794177006</v>
      </c>
      <c r="F75" s="6">
        <f t="shared" si="0"/>
        <v>2.1006343821661781</v>
      </c>
      <c r="G75" s="6">
        <f t="shared" si="1"/>
        <v>-1.2243787627658567</v>
      </c>
      <c r="H75" s="6">
        <f t="shared" ref="H75:I75" si="148">F75*$B$10</f>
        <v>0.21006343821661783</v>
      </c>
      <c r="I75" s="5">
        <f t="shared" si="148"/>
        <v>-0.12243787627658567</v>
      </c>
    </row>
    <row r="76" spans="4:9" ht="12.75" x14ac:dyDescent="0.2">
      <c r="D76" s="12">
        <f t="shared" ref="D76:E76" si="149">D75-H75</f>
        <v>76.938429080871515</v>
      </c>
      <c r="E76" s="12">
        <f t="shared" si="149"/>
        <v>203.36438581804666</v>
      </c>
      <c r="F76" s="6">
        <f t="shared" si="0"/>
        <v>2.0649345616063912</v>
      </c>
      <c r="G76" s="6">
        <f t="shared" si="1"/>
        <v>-1.2035706776437298</v>
      </c>
      <c r="H76" s="6">
        <f t="shared" ref="H76:I76" si="150">F76*$B$10</f>
        <v>0.20649345616063913</v>
      </c>
      <c r="I76" s="5">
        <f t="shared" si="150"/>
        <v>-0.12035706776437299</v>
      </c>
    </row>
    <row r="77" spans="4:9" ht="12.75" x14ac:dyDescent="0.2">
      <c r="D77" s="12">
        <f t="shared" ref="D77:E77" si="151">D76-H76</f>
        <v>76.731935624710871</v>
      </c>
      <c r="E77" s="12">
        <f t="shared" si="151"/>
        <v>203.48474288581102</v>
      </c>
      <c r="F77" s="6">
        <f t="shared" si="0"/>
        <v>2.0298414477611892</v>
      </c>
      <c r="G77" s="6">
        <f t="shared" si="1"/>
        <v>-1.183116228686373</v>
      </c>
      <c r="H77" s="6">
        <f t="shared" ref="H77:I77" si="152">F77*$B$10</f>
        <v>0.20298414477611892</v>
      </c>
      <c r="I77" s="5">
        <f t="shared" si="152"/>
        <v>-0.11831162286863731</v>
      </c>
    </row>
    <row r="78" spans="4:9" ht="12.75" x14ac:dyDescent="0.2">
      <c r="D78" s="12">
        <f t="shared" ref="D78:E78" si="153">D77-H77</f>
        <v>76.528951479934747</v>
      </c>
      <c r="E78" s="12">
        <f t="shared" si="153"/>
        <v>203.60305450867966</v>
      </c>
      <c r="F78" s="6">
        <f t="shared" si="0"/>
        <v>1.9953447308733185</v>
      </c>
      <c r="G78" s="6">
        <f t="shared" si="1"/>
        <v>-1.1630094040436063</v>
      </c>
      <c r="H78" s="6">
        <f t="shared" ref="H78:I78" si="154">F78*$B$10</f>
        <v>0.19953447308733185</v>
      </c>
      <c r="I78" s="5">
        <f t="shared" si="154"/>
        <v>-0.11630094040436063</v>
      </c>
    </row>
    <row r="79" spans="4:9" ht="12.75" x14ac:dyDescent="0.2">
      <c r="D79" s="12">
        <f t="shared" ref="D79:E79" si="155">D78-H78</f>
        <v>76.329417006847422</v>
      </c>
      <c r="E79" s="12">
        <f t="shared" si="155"/>
        <v>203.71935544908402</v>
      </c>
      <c r="F79" s="6">
        <f t="shared" si="0"/>
        <v>1.9614342761105021</v>
      </c>
      <c r="G79" s="6">
        <f t="shared" si="1"/>
        <v>-1.1432442945280361</v>
      </c>
      <c r="H79" s="6">
        <f t="shared" ref="H79:I79" si="156">F79*$B$10</f>
        <v>0.19614342761105022</v>
      </c>
      <c r="I79" s="5">
        <f t="shared" si="156"/>
        <v>-0.11432442945280362</v>
      </c>
    </row>
    <row r="80" spans="4:9" ht="12.75" x14ac:dyDescent="0.2">
      <c r="D80" s="12">
        <f t="shared" ref="D80:E80" si="157">D79-H79</f>
        <v>76.133273579236374</v>
      </c>
      <c r="E80" s="12">
        <f t="shared" si="157"/>
        <v>203.83367987853683</v>
      </c>
      <c r="F80" s="6">
        <f t="shared" si="0"/>
        <v>1.9281001206680917</v>
      </c>
      <c r="G80" s="6">
        <f t="shared" si="1"/>
        <v>-1.1238150917408611</v>
      </c>
      <c r="H80" s="6">
        <f t="shared" ref="H80:I80" si="158">F80*$B$10</f>
        <v>0.19281001206680917</v>
      </c>
      <c r="I80" s="5">
        <f t="shared" si="158"/>
        <v>-0.11238150917408612</v>
      </c>
    </row>
    <row r="81" spans="4:9" ht="12.75" x14ac:dyDescent="0.2">
      <c r="D81" s="12">
        <f t="shared" ref="D81:E81" si="159">D80-H80</f>
        <v>75.940463567169559</v>
      </c>
      <c r="E81" s="12">
        <f t="shared" si="159"/>
        <v>203.94606138771093</v>
      </c>
      <c r="F81" s="6">
        <f t="shared" si="0"/>
        <v>1.8953324709008978</v>
      </c>
      <c r="G81" s="6">
        <f t="shared" si="1"/>
        <v>-1.1047160862639391</v>
      </c>
      <c r="H81" s="6">
        <f t="shared" ref="H81:I81" si="160">F81*$B$10</f>
        <v>0.18953324709008978</v>
      </c>
      <c r="I81" s="5">
        <f t="shared" si="160"/>
        <v>-0.11047160862639392</v>
      </c>
    </row>
    <row r="82" spans="4:9" ht="12.75" x14ac:dyDescent="0.2">
      <c r="D82" s="12">
        <f t="shared" ref="D82:E82" si="161">D81-H81</f>
        <v>75.750930320079462</v>
      </c>
      <c r="E82" s="12">
        <f t="shared" si="161"/>
        <v>204.05653299633732</v>
      </c>
      <c r="F82" s="6">
        <f t="shared" si="0"/>
        <v>1.8631216994893798</v>
      </c>
      <c r="G82" s="6">
        <f t="shared" si="1"/>
        <v>-1.0859416659072658</v>
      </c>
      <c r="H82" s="6">
        <f t="shared" ref="H82:I82" si="162">F82*$B$10</f>
        <v>0.18631216994893798</v>
      </c>
      <c r="I82" s="5">
        <f t="shared" si="162"/>
        <v>-0.10859416659072658</v>
      </c>
    </row>
    <row r="83" spans="4:9" ht="12.75" x14ac:dyDescent="0.2">
      <c r="D83" s="12">
        <f t="shared" ref="D83:E83" si="163">D82-H82</f>
        <v>75.564618150130528</v>
      </c>
      <c r="E83" s="12">
        <f t="shared" si="163"/>
        <v>204.16512716292806</v>
      </c>
      <c r="F83" s="6">
        <f t="shared" si="0"/>
        <v>1.8314583426432591</v>
      </c>
      <c r="G83" s="6">
        <f t="shared" si="1"/>
        <v>-1.0674863140046587</v>
      </c>
      <c r="H83" s="6">
        <f t="shared" ref="H83:I83" si="164">F83*$B$10</f>
        <v>0.18314583426432593</v>
      </c>
      <c r="I83" s="5">
        <f t="shared" si="164"/>
        <v>-0.10674863140046587</v>
      </c>
    </row>
    <row r="84" spans="4:9" ht="12.75" x14ac:dyDescent="0.2">
      <c r="D84" s="12">
        <f t="shared" ref="D84:E84" si="165">D83-H83</f>
        <v>75.381472315866205</v>
      </c>
      <c r="E84" s="12">
        <f t="shared" si="165"/>
        <v>204.27187579432854</v>
      </c>
      <c r="F84" s="6">
        <f t="shared" si="0"/>
        <v>1.8003330973445237</v>
      </c>
      <c r="G84" s="6">
        <f t="shared" si="1"/>
        <v>-1.0493446077523079</v>
      </c>
      <c r="H84" s="6">
        <f t="shared" ref="H84:I84" si="166">F84*$B$10</f>
        <v>0.18003330973445239</v>
      </c>
      <c r="I84" s="5">
        <f t="shared" si="166"/>
        <v>-0.10493446077523079</v>
      </c>
    </row>
    <row r="85" spans="4:9" ht="12.75" x14ac:dyDescent="0.2">
      <c r="D85" s="12">
        <f t="shared" ref="D85:E85" si="167">D84-H84</f>
        <v>75.20143900613175</v>
      </c>
      <c r="E85" s="12">
        <f t="shared" si="167"/>
        <v>204.37681025510378</v>
      </c>
      <c r="F85" s="6">
        <f t="shared" si="0"/>
        <v>1.7697368186316755</v>
      </c>
      <c r="G85" s="6">
        <f t="shared" si="1"/>
        <v>-1.0315112165852345</v>
      </c>
      <c r="H85" s="6">
        <f t="shared" ref="H85:I85" si="168">F85*$B$10</f>
        <v>0.17697368186316756</v>
      </c>
      <c r="I85" s="5">
        <f t="shared" si="168"/>
        <v>-0.10315112165852346</v>
      </c>
    </row>
    <row r="86" spans="4:9" ht="12.75" x14ac:dyDescent="0.2">
      <c r="D86" s="12">
        <f t="shared" ref="D86:E86" si="169">D85-H85</f>
        <v>75.024465324268576</v>
      </c>
      <c r="E86" s="12">
        <f t="shared" si="169"/>
        <v>204.4799613767623</v>
      </c>
      <c r="F86" s="6">
        <f t="shared" si="0"/>
        <v>1.7396605169257406</v>
      </c>
      <c r="G86" s="6">
        <f t="shared" si="1"/>
        <v>-1.0139809005889142</v>
      </c>
      <c r="H86" s="6">
        <f t="shared" ref="H86:I86" si="170">F86*$B$10</f>
        <v>0.17396605169257406</v>
      </c>
      <c r="I86" s="5">
        <f t="shared" si="170"/>
        <v>-0.10139809005889143</v>
      </c>
    </row>
    <row r="87" spans="4:9" ht="12.75" x14ac:dyDescent="0.2">
      <c r="D87" s="12">
        <f t="shared" ref="D87:E87" si="171">D86-H86</f>
        <v>74.850499272576002</v>
      </c>
      <c r="E87" s="12">
        <f t="shared" si="171"/>
        <v>204.5813594668212</v>
      </c>
      <c r="F87" s="6">
        <f t="shared" si="0"/>
        <v>1.7100953553986038</v>
      </c>
      <c r="G87" s="6">
        <f t="shared" si="1"/>
        <v>-0.99674850894320832</v>
      </c>
      <c r="H87" s="6">
        <f t="shared" ref="H87:I87" si="172">F87*$B$10</f>
        <v>0.1710095355398604</v>
      </c>
      <c r="I87" s="5">
        <f t="shared" si="172"/>
        <v>-9.9674850894320835E-2</v>
      </c>
    </row>
    <row r="88" spans="4:9" ht="12.75" x14ac:dyDescent="0.2">
      <c r="D88" s="12">
        <f t="shared" ref="D88:E88" si="173">D87-H87</f>
        <v>74.679489737036135</v>
      </c>
      <c r="E88" s="12">
        <f t="shared" si="173"/>
        <v>204.68103431771553</v>
      </c>
      <c r="F88" s="6">
        <f t="shared" si="0"/>
        <v>1.6810326473834984</v>
      </c>
      <c r="G88" s="6">
        <f t="shared" si="1"/>
        <v>-0.97980897839707382</v>
      </c>
      <c r="H88" s="6">
        <f t="shared" ref="H88:I88" si="174">F88*$B$10</f>
        <v>0.16810326473834986</v>
      </c>
      <c r="I88" s="5">
        <f t="shared" si="174"/>
        <v>-9.7980897839707384E-2</v>
      </c>
    </row>
    <row r="89" spans="4:9" ht="12.75" x14ac:dyDescent="0.2">
      <c r="D89" s="12">
        <f t="shared" ref="D89:E89" si="175">D88-H88</f>
        <v>74.511386472297787</v>
      </c>
      <c r="E89" s="12">
        <f t="shared" si="175"/>
        <v>204.77901521555523</v>
      </c>
      <c r="F89" s="6">
        <f t="shared" si="0"/>
        <v>1.652463853827997</v>
      </c>
      <c r="G89" s="6">
        <f t="shared" si="1"/>
        <v>-0.963157331771896</v>
      </c>
      <c r="H89" s="6">
        <f t="shared" ref="H89:I89" si="176">F89*$B$10</f>
        <v>0.1652463853827997</v>
      </c>
      <c r="I89" s="5">
        <f t="shared" si="176"/>
        <v>-9.6315733177189611E-2</v>
      </c>
    </row>
    <row r="90" spans="4:9" ht="12.75" x14ac:dyDescent="0.2">
      <c r="D90" s="12">
        <f t="shared" ref="D90:E90" si="177">D89-H89</f>
        <v>74.346140086914986</v>
      </c>
      <c r="E90" s="12">
        <f t="shared" si="177"/>
        <v>204.87533094873243</v>
      </c>
      <c r="F90" s="6">
        <f t="shared" si="0"/>
        <v>1.6243805807889551</v>
      </c>
      <c r="G90" s="6">
        <f t="shared" si="1"/>
        <v>-0.9467886764924931</v>
      </c>
      <c r="H90" s="6">
        <f t="shared" ref="H90:I90" si="178">F90*$B$10</f>
        <v>0.16243805807889553</v>
      </c>
      <c r="I90" s="5">
        <f t="shared" si="178"/>
        <v>-9.4678867649249321E-2</v>
      </c>
    </row>
    <row r="91" spans="4:9" ht="12.75" x14ac:dyDescent="0.2">
      <c r="D91" s="12">
        <f t="shared" ref="D91:E91" si="179">D90-H90</f>
        <v>74.183702028836095</v>
      </c>
      <c r="E91" s="12">
        <f t="shared" si="179"/>
        <v>204.97000981638166</v>
      </c>
      <c r="F91" s="6">
        <f t="shared" si="0"/>
        <v>1.5967745769690063</v>
      </c>
      <c r="G91" s="6">
        <f t="shared" si="1"/>
        <v>-0.93069820314484741</v>
      </c>
      <c r="H91" s="6">
        <f t="shared" ref="H91:I91" si="180">F91*$B$10</f>
        <v>0.15967745769690064</v>
      </c>
      <c r="I91" s="5">
        <f t="shared" si="180"/>
        <v>-9.3069820314484741E-2</v>
      </c>
    </row>
    <row r="92" spans="4:9" ht="12.75" x14ac:dyDescent="0.2">
      <c r="D92" s="12">
        <f t="shared" ref="D92:E92" si="181">D91-H91</f>
        <v>74.024024571139194</v>
      </c>
      <c r="E92" s="12">
        <f t="shared" si="181"/>
        <v>205.06307963669616</v>
      </c>
      <c r="F92" s="6">
        <f t="shared" si="0"/>
        <v>1.5696377312944396</v>
      </c>
      <c r="G92" s="6">
        <f t="shared" si="1"/>
        <v>-0.91488118405919749</v>
      </c>
      <c r="H92" s="6">
        <f t="shared" ref="H92:I92" si="182">F92*$B$10</f>
        <v>0.15696377312944398</v>
      </c>
      <c r="I92" s="5">
        <f t="shared" si="182"/>
        <v>-9.1488118405919749E-2</v>
      </c>
    </row>
    <row r="93" spans="4:9" ht="12.75" x14ac:dyDescent="0.2">
      <c r="D93" s="12">
        <f t="shared" ref="D93:E93" si="183">D92-H92</f>
        <v>73.867060798009746</v>
      </c>
      <c r="E93" s="12">
        <f t="shared" si="183"/>
        <v>205.15456775510208</v>
      </c>
      <c r="F93" s="6">
        <f t="shared" si="0"/>
        <v>1.5429620705332756</v>
      </c>
      <c r="G93" s="6">
        <f t="shared" si="1"/>
        <v>-0.89933297191876704</v>
      </c>
      <c r="H93" s="6">
        <f t="shared" ref="H93:I93" si="184">F93*$B$10</f>
        <v>0.15429620705332758</v>
      </c>
      <c r="I93" s="5">
        <f t="shared" si="184"/>
        <v>-8.9933297191876704E-2</v>
      </c>
    </row>
    <row r="94" spans="4:9" ht="12.75" x14ac:dyDescent="0.2">
      <c r="D94" s="12">
        <f t="shared" ref="D94:E94" si="185">D93-H93</f>
        <v>73.712764590956425</v>
      </c>
      <c r="E94" s="12">
        <f t="shared" si="185"/>
        <v>205.24450105229397</v>
      </c>
      <c r="F94" s="6">
        <f t="shared" si="0"/>
        <v>1.5167397569540726</v>
      </c>
      <c r="G94" s="6">
        <f t="shared" si="1"/>
        <v>-0.88404899839186624</v>
      </c>
      <c r="H94" s="6">
        <f t="shared" ref="H94:I94" si="186">F94*$B$10</f>
        <v>0.15167397569540728</v>
      </c>
      <c r="I94" s="5">
        <f t="shared" si="186"/>
        <v>-8.8404899839186632E-2</v>
      </c>
    </row>
    <row r="95" spans="4:9" ht="12.75" x14ac:dyDescent="0.2">
      <c r="D95" s="12">
        <f t="shared" ref="D95:E95" si="187">D94-H94</f>
        <v>73.561090615261023</v>
      </c>
      <c r="E95" s="12">
        <f t="shared" si="187"/>
        <v>205.33290595213316</v>
      </c>
      <c r="F95" s="6">
        <f t="shared" si="0"/>
        <v>1.4909630860236889</v>
      </c>
      <c r="G95" s="6">
        <f t="shared" si="1"/>
        <v>-0.86902477278857759</v>
      </c>
      <c r="H95" s="6">
        <f t="shared" ref="H95:I95" si="188">F95*$B$10</f>
        <v>0.14909630860236889</v>
      </c>
      <c r="I95" s="5">
        <f t="shared" si="188"/>
        <v>-8.6902477278857762E-2</v>
      </c>
    </row>
    <row r="96" spans="4:9" ht="12.75" x14ac:dyDescent="0.2">
      <c r="D96" s="12">
        <f t="shared" ref="D96:E96" si="189">D95-H95</f>
        <v>73.411994306658656</v>
      </c>
      <c r="E96" s="12">
        <f t="shared" si="189"/>
        <v>205.41980842941203</v>
      </c>
      <c r="F96" s="6">
        <f t="shared" si="0"/>
        <v>1.4656244841442629</v>
      </c>
      <c r="G96" s="6">
        <f t="shared" si="1"/>
        <v>-0.85425588074004577</v>
      </c>
      <c r="H96" s="6">
        <f t="shared" ref="H96:I96" si="190">F96*$B$10</f>
        <v>0.14656244841442631</v>
      </c>
      <c r="I96" s="5">
        <f t="shared" si="190"/>
        <v>-8.5425588074004577E-2</v>
      </c>
    </row>
    <row r="97" spans="4:9" ht="12.75" x14ac:dyDescent="0.2">
      <c r="D97" s="12">
        <f t="shared" ref="D97:E97" si="191">D96-H96</f>
        <v>73.265431858244227</v>
      </c>
      <c r="E97" s="12">
        <f t="shared" si="191"/>
        <v>205.50523401748603</v>
      </c>
      <c r="F97" s="6">
        <f t="shared" si="0"/>
        <v>1.4407165064284524</v>
      </c>
      <c r="G97" s="6">
        <f t="shared" si="1"/>
        <v>-0.83973798290075286</v>
      </c>
      <c r="H97" s="6">
        <f t="shared" ref="H97:I97" si="192">F97*$B$10</f>
        <v>0.14407165064284524</v>
      </c>
      <c r="I97" s="5">
        <f t="shared" si="192"/>
        <v>-8.3973798290075286E-2</v>
      </c>
    </row>
    <row r="98" spans="4:9" ht="12.75" x14ac:dyDescent="0.2">
      <c r="D98" s="12">
        <f t="shared" ref="D98:E98" si="193">D97-H97</f>
        <v>73.121360207601384</v>
      </c>
      <c r="E98" s="12">
        <f t="shared" si="193"/>
        <v>205.58920781577612</v>
      </c>
      <c r="F98" s="6">
        <f t="shared" si="0"/>
        <v>1.416231834512296</v>
      </c>
      <c r="G98" s="6">
        <f t="shared" si="1"/>
        <v>-0.82546681367294161</v>
      </c>
      <c r="H98" s="6">
        <f t="shared" ref="H98:I98" si="194">F98*$B$10</f>
        <v>0.1416231834512296</v>
      </c>
      <c r="I98" s="5">
        <f t="shared" si="194"/>
        <v>-8.2546681367294164E-2</v>
      </c>
    </row>
    <row r="99" spans="4:9" ht="12.75" x14ac:dyDescent="0.2">
      <c r="D99" s="12">
        <f t="shared" ref="D99:E99" si="195">D98-H98</f>
        <v>72.979737024150154</v>
      </c>
      <c r="E99" s="12">
        <f t="shared" si="195"/>
        <v>205.67175449714341</v>
      </c>
      <c r="F99" s="6">
        <f t="shared" si="0"/>
        <v>1.3921632744051717</v>
      </c>
      <c r="G99" s="6">
        <f t="shared" si="1"/>
        <v>-0.8114381799530197</v>
      </c>
      <c r="H99" s="6">
        <f t="shared" ref="H99:I99" si="196">F99*$B$10</f>
        <v>0.13921632744051718</v>
      </c>
      <c r="I99" s="5">
        <f t="shared" si="196"/>
        <v>-8.1143817995301973E-2</v>
      </c>
    </row>
    <row r="100" spans="4:9" ht="12.75" x14ac:dyDescent="0.2">
      <c r="D100" s="12">
        <f t="shared" ref="D100:E100" si="197">D99-H99</f>
        <v>72.840520696709632</v>
      </c>
      <c r="E100" s="12">
        <f t="shared" si="197"/>
        <v>205.75289831513871</v>
      </c>
      <c r="F100" s="6">
        <f t="shared" si="0"/>
        <v>1.3685037543764302</v>
      </c>
      <c r="G100" s="6">
        <f t="shared" si="1"/>
        <v>-0.79764795989895743</v>
      </c>
      <c r="H100" s="6">
        <f t="shared" ref="H100:I100" si="198">F100*$B$10</f>
        <v>0.13685037543764303</v>
      </c>
      <c r="I100" s="5">
        <f t="shared" si="198"/>
        <v>-7.9764795989895748E-2</v>
      </c>
    </row>
    <row r="101" spans="4:9" ht="12.75" x14ac:dyDescent="0.2">
      <c r="D101" s="12">
        <f t="shared" ref="D101:E101" si="199">D100-H100</f>
        <v>72.703670321271986</v>
      </c>
      <c r="E101" s="12">
        <f t="shared" si="199"/>
        <v>205.8326631111286</v>
      </c>
      <c r="F101" s="6">
        <f t="shared" si="0"/>
        <v>1.3452463228774931</v>
      </c>
      <c r="G101" s="6">
        <f t="shared" si="1"/>
        <v>-0.78409210171935229</v>
      </c>
      <c r="H101" s="6">
        <f t="shared" ref="H101:I101" si="200">F101*$B$10</f>
        <v>0.13452463228774933</v>
      </c>
      <c r="I101" s="5">
        <f t="shared" si="200"/>
        <v>-7.8409210171935237E-2</v>
      </c>
    </row>
    <row r="102" spans="4:9" ht="12.75" x14ac:dyDescent="0.2">
      <c r="D102" s="12">
        <f t="shared" ref="D102:E102" si="201">D101-H101</f>
        <v>72.569145688984236</v>
      </c>
      <c r="E102" s="12">
        <f t="shared" si="201"/>
        <v>205.91107232130054</v>
      </c>
      <c r="F102" s="6">
        <f t="shared" si="0"/>
        <v>1.3223841464997599</v>
      </c>
      <c r="G102" s="6">
        <f t="shared" si="1"/>
        <v>-0.77076662248240757</v>
      </c>
      <c r="H102" s="6">
        <f t="shared" ref="H102:I102" si="202">F102*$B$10</f>
        <v>0.13223841464997599</v>
      </c>
      <c r="I102" s="5">
        <f t="shared" si="202"/>
        <v>-7.7076662248240765E-2</v>
      </c>
    </row>
    <row r="103" spans="4:9" ht="12.75" x14ac:dyDescent="0.2">
      <c r="D103" s="12">
        <f t="shared" ref="D103:E103" si="203">D102-H102</f>
        <v>72.43690727433426</v>
      </c>
      <c r="E103" s="12">
        <f t="shared" si="203"/>
        <v>205.98814898354877</v>
      </c>
      <c r="F103" s="6">
        <f t="shared" si="0"/>
        <v>1.2999105079666564</v>
      </c>
      <c r="G103" s="6">
        <f t="shared" si="1"/>
        <v>-0.75766760694590585</v>
      </c>
      <c r="H103" s="6">
        <f t="shared" ref="H103:I103" si="204">F103*$B$10</f>
        <v>0.12999105079666565</v>
      </c>
      <c r="I103" s="5">
        <f t="shared" si="204"/>
        <v>-7.5766760694590596E-2</v>
      </c>
    </row>
    <row r="104" spans="4:9" ht="12.75" x14ac:dyDescent="0.2">
      <c r="D104" s="12">
        <f t="shared" ref="D104:E104" si="205">D103-H103</f>
        <v>72.306916223537598</v>
      </c>
      <c r="E104" s="12">
        <f t="shared" si="205"/>
        <v>206.06391574424336</v>
      </c>
      <c r="F104" s="6">
        <f t="shared" si="0"/>
        <v>1.2778188041601795</v>
      </c>
      <c r="G104" s="6">
        <f t="shared" si="1"/>
        <v>-0.74479120640651786</v>
      </c>
      <c r="H104" s="6">
        <f t="shared" ref="H104:I104" si="206">F104*$B$10</f>
        <v>0.12778188041601796</v>
      </c>
      <c r="I104" s="5">
        <f t="shared" si="206"/>
        <v>-7.4479120640651791E-2</v>
      </c>
    </row>
    <row r="105" spans="4:9" ht="12.75" x14ac:dyDescent="0.2">
      <c r="D105" s="12"/>
      <c r="E105" s="12"/>
      <c r="F105" s="6"/>
      <c r="G105" s="6"/>
      <c r="H105" s="6"/>
      <c r="I105" s="5"/>
    </row>
    <row r="106" spans="4:9" ht="12.75" x14ac:dyDescent="0.2">
      <c r="D106" s="12"/>
      <c r="E106" s="12"/>
      <c r="F106" s="6"/>
      <c r="G106" s="6"/>
      <c r="H106" s="6"/>
      <c r="I106" s="5"/>
    </row>
    <row r="107" spans="4:9" ht="12.75" x14ac:dyDescent="0.2">
      <c r="D107" s="12"/>
      <c r="E107" s="12"/>
      <c r="F107" s="6"/>
      <c r="G107" s="6"/>
      <c r="H107" s="6"/>
      <c r="I107" s="5"/>
    </row>
    <row r="108" spans="4:9" ht="12.75" x14ac:dyDescent="0.2">
      <c r="D108" s="12"/>
      <c r="E108" s="12"/>
      <c r="F108" s="6"/>
      <c r="G108" s="6"/>
      <c r="H108" s="6"/>
      <c r="I108" s="5"/>
    </row>
    <row r="109" spans="4:9" ht="12.75" x14ac:dyDescent="0.2">
      <c r="D109" s="12"/>
      <c r="E109" s="12"/>
      <c r="F109" s="6"/>
      <c r="G109" s="6"/>
      <c r="H109" s="6"/>
      <c r="I109" s="5"/>
    </row>
    <row r="110" spans="4:9" ht="12.75" x14ac:dyDescent="0.2">
      <c r="D110" s="12"/>
      <c r="E110" s="12"/>
      <c r="F110" s="6"/>
      <c r="G110" s="6"/>
      <c r="H110" s="6"/>
      <c r="I110" s="5"/>
    </row>
    <row r="111" spans="4:9" ht="12.75" x14ac:dyDescent="0.2">
      <c r="D111" s="12"/>
      <c r="E111" s="12"/>
      <c r="F111" s="6"/>
      <c r="G111" s="6"/>
      <c r="H111" s="6"/>
      <c r="I111" s="5"/>
    </row>
    <row r="112" spans="4:9" ht="12.75" x14ac:dyDescent="0.2">
      <c r="D112" s="12"/>
      <c r="E112" s="12"/>
      <c r="F112" s="6"/>
      <c r="G112" s="6"/>
      <c r="H112" s="6"/>
      <c r="I112" s="5"/>
    </row>
    <row r="113" spans="4:9" ht="12.75" x14ac:dyDescent="0.2">
      <c r="D113" s="12"/>
      <c r="E113" s="12"/>
      <c r="F113" s="6"/>
      <c r="G113" s="6"/>
      <c r="H113" s="6"/>
      <c r="I113" s="5"/>
    </row>
    <row r="114" spans="4:9" ht="12.75" x14ac:dyDescent="0.2">
      <c r="D114" s="12"/>
      <c r="E114" s="12"/>
      <c r="F114" s="6"/>
      <c r="G114" s="6"/>
      <c r="H114" s="6"/>
      <c r="I114" s="5"/>
    </row>
    <row r="115" spans="4:9" ht="12.75" x14ac:dyDescent="0.2">
      <c r="D115" s="12"/>
      <c r="E115" s="12"/>
      <c r="F115" s="6"/>
      <c r="G115" s="6"/>
      <c r="H115" s="6"/>
      <c r="I115" s="5"/>
    </row>
    <row r="116" spans="4:9" ht="12.75" x14ac:dyDescent="0.2">
      <c r="D116" s="12"/>
      <c r="E116" s="12"/>
      <c r="F116" s="6"/>
      <c r="G116" s="6"/>
      <c r="H116" s="6"/>
      <c r="I116" s="5"/>
    </row>
    <row r="117" spans="4:9" ht="12.75" x14ac:dyDescent="0.2">
      <c r="D117" s="12"/>
      <c r="E117" s="12"/>
      <c r="F117" s="6"/>
      <c r="G117" s="6"/>
      <c r="H117" s="6"/>
      <c r="I117" s="5"/>
    </row>
    <row r="118" spans="4:9" ht="12.75" x14ac:dyDescent="0.2">
      <c r="D118" s="12"/>
      <c r="E118" s="12"/>
      <c r="F118" s="6"/>
      <c r="G118" s="6"/>
      <c r="H118" s="6"/>
      <c r="I118" s="5"/>
    </row>
    <row r="119" spans="4:9" ht="12.75" x14ac:dyDescent="0.2">
      <c r="D119" s="12"/>
      <c r="E119" s="12"/>
      <c r="F119" s="6"/>
      <c r="G119" s="6"/>
      <c r="H119" s="6"/>
      <c r="I119" s="5"/>
    </row>
    <row r="120" spans="4:9" ht="12.75" x14ac:dyDescent="0.2">
      <c r="D120" s="12"/>
      <c r="E120" s="12"/>
      <c r="F120" s="6"/>
      <c r="G120" s="6"/>
      <c r="H120" s="6"/>
      <c r="I120" s="5"/>
    </row>
    <row r="121" spans="4:9" ht="12.75" x14ac:dyDescent="0.2">
      <c r="D121" s="12"/>
      <c r="E121" s="12"/>
      <c r="F121" s="6"/>
      <c r="G121" s="6"/>
      <c r="H121" s="6"/>
      <c r="I121" s="5"/>
    </row>
    <row r="122" spans="4:9" ht="12.75" x14ac:dyDescent="0.2">
      <c r="D122" s="12"/>
      <c r="E122" s="12"/>
      <c r="F122" s="6"/>
      <c r="G122" s="6"/>
      <c r="H122" s="6"/>
      <c r="I122" s="5"/>
    </row>
    <row r="123" spans="4:9" ht="12.75" x14ac:dyDescent="0.2">
      <c r="D123" s="12"/>
      <c r="E123" s="12"/>
      <c r="F123" s="6"/>
      <c r="G123" s="6"/>
      <c r="H123" s="6"/>
      <c r="I123" s="5"/>
    </row>
    <row r="124" spans="4:9" ht="12.75" x14ac:dyDescent="0.2">
      <c r="D124" s="12"/>
      <c r="E124" s="12"/>
      <c r="F124" s="6"/>
      <c r="G124" s="6"/>
      <c r="H124" s="6"/>
      <c r="I124" s="5"/>
    </row>
    <row r="125" spans="4:9" ht="12.75" x14ac:dyDescent="0.2">
      <c r="D125" s="12"/>
      <c r="E125" s="12"/>
      <c r="F125" s="6"/>
      <c r="G125" s="6"/>
      <c r="H125" s="6"/>
      <c r="I125" s="5"/>
    </row>
    <row r="126" spans="4:9" ht="12.75" x14ac:dyDescent="0.2">
      <c r="D126" s="12"/>
      <c r="E126" s="12"/>
      <c r="F126" s="6"/>
      <c r="G126" s="6"/>
      <c r="H126" s="6"/>
      <c r="I126" s="5"/>
    </row>
    <row r="127" spans="4:9" ht="12.75" x14ac:dyDescent="0.2">
      <c r="D127" s="12"/>
      <c r="E127" s="12"/>
      <c r="F127" s="6"/>
      <c r="G127" s="6"/>
      <c r="H127" s="6"/>
      <c r="I127" s="5"/>
    </row>
    <row r="128" spans="4:9" ht="12.75" x14ac:dyDescent="0.2">
      <c r="D128" s="12"/>
      <c r="E128" s="12"/>
      <c r="F128" s="6"/>
      <c r="G128" s="6"/>
      <c r="H128" s="6"/>
      <c r="I128" s="5"/>
    </row>
    <row r="129" spans="4:9" ht="12.75" x14ac:dyDescent="0.2">
      <c r="D129" s="12"/>
      <c r="E129" s="12"/>
      <c r="F129" s="6"/>
      <c r="G129" s="6"/>
      <c r="H129" s="6"/>
      <c r="I129" s="5"/>
    </row>
    <row r="130" spans="4:9" ht="12.75" x14ac:dyDescent="0.2">
      <c r="D130" s="12"/>
      <c r="E130" s="12"/>
      <c r="F130" s="6"/>
      <c r="G130" s="6"/>
      <c r="H130" s="6"/>
      <c r="I130" s="5"/>
    </row>
    <row r="131" spans="4:9" ht="12.75" x14ac:dyDescent="0.2">
      <c r="D131" s="12"/>
      <c r="E131" s="12"/>
      <c r="F131" s="6"/>
      <c r="G131" s="6"/>
      <c r="H131" s="6"/>
      <c r="I131" s="5"/>
    </row>
    <row r="132" spans="4:9" ht="12.75" x14ac:dyDescent="0.2">
      <c r="D132" s="12"/>
      <c r="E132" s="12"/>
      <c r="F132" s="6"/>
      <c r="G132" s="6"/>
      <c r="H132" s="6"/>
      <c r="I132" s="5"/>
    </row>
    <row r="133" spans="4:9" ht="12.75" x14ac:dyDescent="0.2">
      <c r="D133" s="12"/>
      <c r="E133" s="12"/>
      <c r="F133" s="6"/>
      <c r="G133" s="6"/>
      <c r="H133" s="6"/>
      <c r="I133" s="5"/>
    </row>
    <row r="134" spans="4:9" ht="12.75" x14ac:dyDescent="0.2">
      <c r="D134" s="12"/>
      <c r="E134" s="12"/>
      <c r="F134" s="6"/>
      <c r="G134" s="6"/>
      <c r="H134" s="6"/>
      <c r="I134" s="5"/>
    </row>
    <row r="135" spans="4:9" ht="12.75" x14ac:dyDescent="0.2">
      <c r="D135" s="12"/>
      <c r="E135" s="12"/>
      <c r="F135" s="6"/>
      <c r="G135" s="6"/>
      <c r="H135" s="6"/>
      <c r="I135" s="5"/>
    </row>
    <row r="136" spans="4:9" ht="12.75" x14ac:dyDescent="0.2">
      <c r="D136" s="12"/>
      <c r="E136" s="12"/>
      <c r="F136" s="6"/>
      <c r="G136" s="6"/>
      <c r="H136" s="6"/>
      <c r="I136" s="5"/>
    </row>
    <row r="137" spans="4:9" ht="12.75" x14ac:dyDescent="0.2">
      <c r="D137" s="12"/>
      <c r="E137" s="12"/>
      <c r="F137" s="6"/>
      <c r="G137" s="6"/>
      <c r="H137" s="6"/>
      <c r="I137" s="5"/>
    </row>
    <row r="138" spans="4:9" ht="12.75" x14ac:dyDescent="0.2">
      <c r="D138" s="12"/>
      <c r="E138" s="12"/>
      <c r="F138" s="6"/>
      <c r="G138" s="6"/>
      <c r="H138" s="6"/>
      <c r="I138" s="5"/>
    </row>
    <row r="139" spans="4:9" ht="12.75" x14ac:dyDescent="0.2">
      <c r="D139" s="12"/>
      <c r="E139" s="12"/>
      <c r="F139" s="6"/>
      <c r="G139" s="6"/>
      <c r="H139" s="6"/>
      <c r="I139" s="5"/>
    </row>
    <row r="140" spans="4:9" ht="12.75" x14ac:dyDescent="0.2">
      <c r="D140" s="12"/>
      <c r="E140" s="12"/>
      <c r="F140" s="6"/>
      <c r="G140" s="6"/>
      <c r="H140" s="6"/>
      <c r="I140" s="5"/>
    </row>
    <row r="141" spans="4:9" ht="12.75" x14ac:dyDescent="0.2">
      <c r="D141" s="12"/>
      <c r="E141" s="12"/>
      <c r="F141" s="6"/>
      <c r="G141" s="6"/>
      <c r="H141" s="6"/>
      <c r="I141" s="5"/>
    </row>
    <row r="142" spans="4:9" ht="12.75" x14ac:dyDescent="0.2">
      <c r="D142" s="12"/>
      <c r="E142" s="12"/>
      <c r="F142" s="6"/>
      <c r="G142" s="6"/>
      <c r="H142" s="6"/>
      <c r="I142" s="5"/>
    </row>
    <row r="143" spans="4:9" ht="12.75" x14ac:dyDescent="0.2">
      <c r="D143" s="12"/>
      <c r="E143" s="12"/>
      <c r="F143" s="6"/>
      <c r="G143" s="6"/>
      <c r="H143" s="6"/>
      <c r="I143" s="5"/>
    </row>
    <row r="144" spans="4:9" ht="12.75" x14ac:dyDescent="0.2">
      <c r="D144" s="12"/>
      <c r="E144" s="12"/>
      <c r="F144" s="6"/>
      <c r="G144" s="6"/>
      <c r="H144" s="6"/>
      <c r="I144" s="5"/>
    </row>
    <row r="145" spans="4:9" ht="12.75" x14ac:dyDescent="0.2">
      <c r="D145" s="12"/>
      <c r="E145" s="12"/>
      <c r="F145" s="6"/>
      <c r="G145" s="6"/>
      <c r="H145" s="6"/>
      <c r="I145" s="5"/>
    </row>
    <row r="146" spans="4:9" ht="12.75" x14ac:dyDescent="0.2">
      <c r="D146" s="12"/>
      <c r="E146" s="12"/>
      <c r="F146" s="6"/>
      <c r="G146" s="6"/>
      <c r="H146" s="6"/>
      <c r="I146" s="5"/>
    </row>
    <row r="147" spans="4:9" ht="12.75" x14ac:dyDescent="0.2">
      <c r="D147" s="12"/>
      <c r="E147" s="12"/>
      <c r="F147" s="6"/>
      <c r="G147" s="6"/>
      <c r="H147" s="6"/>
      <c r="I147" s="5"/>
    </row>
    <row r="148" spans="4:9" ht="12.75" x14ac:dyDescent="0.2">
      <c r="D148" s="12"/>
      <c r="E148" s="12"/>
      <c r="F148" s="6"/>
      <c r="G148" s="6"/>
      <c r="H148" s="6"/>
      <c r="I148" s="5"/>
    </row>
    <row r="149" spans="4:9" ht="12.75" x14ac:dyDescent="0.2">
      <c r="D149" s="12"/>
      <c r="E149" s="12"/>
      <c r="F149" s="6"/>
      <c r="G149" s="6"/>
      <c r="H149" s="6"/>
      <c r="I149" s="5"/>
    </row>
    <row r="150" spans="4:9" ht="12.75" x14ac:dyDescent="0.2">
      <c r="D150" s="12"/>
      <c r="E150" s="12"/>
      <c r="F150" s="6"/>
      <c r="G150" s="6"/>
      <c r="H150" s="6"/>
      <c r="I150" s="5"/>
    </row>
    <row r="151" spans="4:9" ht="12.75" x14ac:dyDescent="0.2">
      <c r="D151" s="12"/>
      <c r="E151" s="12"/>
      <c r="F151" s="6"/>
      <c r="G151" s="6"/>
      <c r="H151" s="6"/>
      <c r="I151" s="5"/>
    </row>
    <row r="152" spans="4:9" ht="12.75" x14ac:dyDescent="0.2">
      <c r="D152" s="12"/>
      <c r="E152" s="12"/>
      <c r="F152" s="6"/>
      <c r="G152" s="6"/>
      <c r="H152" s="6"/>
      <c r="I152" s="5"/>
    </row>
    <row r="153" spans="4:9" ht="12.75" x14ac:dyDescent="0.2">
      <c r="D153" s="12"/>
      <c r="E153" s="12"/>
      <c r="F153" s="6"/>
      <c r="G153" s="6"/>
      <c r="H153" s="6"/>
      <c r="I153" s="5"/>
    </row>
    <row r="154" spans="4:9" ht="12.75" x14ac:dyDescent="0.2">
      <c r="D154" s="12"/>
      <c r="E154" s="12"/>
      <c r="F154" s="6"/>
      <c r="G154" s="6"/>
      <c r="H154" s="6"/>
      <c r="I154" s="5"/>
    </row>
    <row r="155" spans="4:9" ht="12.75" x14ac:dyDescent="0.2">
      <c r="D155" s="12"/>
      <c r="E155" s="12"/>
      <c r="F155" s="6"/>
      <c r="G155" s="6"/>
      <c r="H155" s="6"/>
      <c r="I155" s="5"/>
    </row>
    <row r="156" spans="4:9" ht="12.75" x14ac:dyDescent="0.2">
      <c r="D156" s="12"/>
      <c r="E156" s="12"/>
      <c r="F156" s="6"/>
      <c r="G156" s="6"/>
      <c r="H156" s="6"/>
      <c r="I156" s="5"/>
    </row>
    <row r="157" spans="4:9" ht="12.75" x14ac:dyDescent="0.2">
      <c r="D157" s="12"/>
      <c r="E157" s="12"/>
      <c r="F157" s="6"/>
      <c r="G157" s="6"/>
      <c r="H157" s="6"/>
      <c r="I157" s="5"/>
    </row>
    <row r="158" spans="4:9" ht="12.75" x14ac:dyDescent="0.2">
      <c r="D158" s="12"/>
      <c r="E158" s="12"/>
      <c r="F158" s="6"/>
      <c r="G158" s="6"/>
      <c r="H158" s="6"/>
      <c r="I158" s="5"/>
    </row>
    <row r="159" spans="4:9" ht="12.75" x14ac:dyDescent="0.2">
      <c r="D159" s="12"/>
      <c r="E159" s="12"/>
      <c r="F159" s="6"/>
      <c r="G159" s="6"/>
      <c r="H159" s="6"/>
      <c r="I159" s="5"/>
    </row>
    <row r="160" spans="4:9" ht="12.75" x14ac:dyDescent="0.2">
      <c r="D160" s="12"/>
      <c r="E160" s="12"/>
      <c r="F160" s="6"/>
      <c r="G160" s="6"/>
      <c r="H160" s="6"/>
      <c r="I160" s="5"/>
    </row>
    <row r="161" spans="4:9" ht="12.75" x14ac:dyDescent="0.2">
      <c r="D161" s="12"/>
      <c r="E161" s="12"/>
      <c r="F161" s="6"/>
      <c r="G161" s="6"/>
      <c r="H161" s="6"/>
      <c r="I161" s="5"/>
    </row>
    <row r="162" spans="4:9" ht="12.75" x14ac:dyDescent="0.2">
      <c r="D162" s="12"/>
      <c r="E162" s="12"/>
      <c r="F162" s="6"/>
      <c r="G162" s="6"/>
      <c r="H162" s="6"/>
      <c r="I162" s="5"/>
    </row>
    <row r="163" spans="4:9" ht="12.75" x14ac:dyDescent="0.2">
      <c r="D163" s="12"/>
      <c r="E163" s="12"/>
      <c r="F163" s="6"/>
      <c r="G163" s="6"/>
      <c r="H163" s="6"/>
      <c r="I163" s="5"/>
    </row>
    <row r="164" spans="4:9" ht="12.75" x14ac:dyDescent="0.2">
      <c r="D164" s="12"/>
      <c r="E164" s="12"/>
      <c r="F164" s="6"/>
      <c r="G164" s="6"/>
      <c r="H164" s="6"/>
      <c r="I164" s="5"/>
    </row>
    <row r="165" spans="4:9" ht="12.75" x14ac:dyDescent="0.2">
      <c r="D165" s="12"/>
      <c r="E165" s="12"/>
      <c r="F165" s="6"/>
      <c r="G165" s="6"/>
      <c r="H165" s="6"/>
      <c r="I165" s="5"/>
    </row>
    <row r="166" spans="4:9" ht="12.75" x14ac:dyDescent="0.2">
      <c r="D166" s="12"/>
      <c r="E166" s="12"/>
      <c r="F166" s="6"/>
      <c r="G166" s="6"/>
      <c r="H166" s="6"/>
      <c r="I166" s="5"/>
    </row>
    <row r="167" spans="4:9" ht="12.75" x14ac:dyDescent="0.2">
      <c r="D167" s="12"/>
      <c r="E167" s="12"/>
      <c r="F167" s="6"/>
      <c r="G167" s="6"/>
      <c r="H167" s="6"/>
      <c r="I167" s="5"/>
    </row>
    <row r="168" spans="4:9" ht="12.75" x14ac:dyDescent="0.2">
      <c r="D168" s="12"/>
      <c r="E168" s="12"/>
      <c r="F168" s="6"/>
      <c r="G168" s="6"/>
      <c r="H168" s="6"/>
      <c r="I168" s="5"/>
    </row>
    <row r="169" spans="4:9" ht="12.75" x14ac:dyDescent="0.2">
      <c r="D169" s="12"/>
      <c r="E169" s="12"/>
      <c r="F169" s="6"/>
      <c r="G169" s="6"/>
      <c r="H169" s="6"/>
      <c r="I169" s="5"/>
    </row>
    <row r="170" spans="4:9" ht="12.75" x14ac:dyDescent="0.2">
      <c r="D170" s="12"/>
      <c r="E170" s="12"/>
      <c r="F170" s="6"/>
      <c r="G170" s="6"/>
      <c r="H170" s="6"/>
      <c r="I170" s="5"/>
    </row>
    <row r="171" spans="4:9" ht="12.75" x14ac:dyDescent="0.2">
      <c r="D171" s="12"/>
      <c r="E171" s="12"/>
      <c r="F171" s="6"/>
      <c r="G171" s="6"/>
      <c r="H171" s="6"/>
      <c r="I171" s="5"/>
    </row>
    <row r="172" spans="4:9" ht="12.75" x14ac:dyDescent="0.2">
      <c r="D172" s="12"/>
      <c r="E172" s="12"/>
      <c r="F172" s="6"/>
      <c r="G172" s="6"/>
      <c r="H172" s="6"/>
      <c r="I172" s="5"/>
    </row>
    <row r="173" spans="4:9" ht="12.75" x14ac:dyDescent="0.2">
      <c r="D173" s="12"/>
      <c r="E173" s="12"/>
      <c r="F173" s="6"/>
      <c r="G173" s="6"/>
      <c r="H173" s="6"/>
      <c r="I173" s="5"/>
    </row>
    <row r="174" spans="4:9" ht="12.75" x14ac:dyDescent="0.2">
      <c r="D174" s="12"/>
      <c r="E174" s="12"/>
      <c r="F174" s="6"/>
      <c r="G174" s="6"/>
      <c r="H174" s="6"/>
      <c r="I174" s="5"/>
    </row>
    <row r="175" spans="4:9" ht="12.75" x14ac:dyDescent="0.2">
      <c r="D175" s="12"/>
      <c r="E175" s="12"/>
      <c r="F175" s="6"/>
      <c r="G175" s="6"/>
      <c r="H175" s="6"/>
      <c r="I175" s="5"/>
    </row>
    <row r="176" spans="4:9" ht="12.75" x14ac:dyDescent="0.2">
      <c r="D176" s="12"/>
      <c r="E176" s="12"/>
      <c r="F176" s="6"/>
      <c r="G176" s="6"/>
      <c r="H176" s="6"/>
      <c r="I176" s="5"/>
    </row>
    <row r="177" spans="4:9" ht="12.75" x14ac:dyDescent="0.2">
      <c r="D177" s="12"/>
      <c r="E177" s="12"/>
      <c r="F177" s="6"/>
      <c r="G177" s="6"/>
      <c r="H177" s="6"/>
      <c r="I177" s="5"/>
    </row>
    <row r="178" spans="4:9" ht="12.75" x14ac:dyDescent="0.2">
      <c r="D178" s="12"/>
      <c r="E178" s="12"/>
      <c r="F178" s="6"/>
      <c r="G178" s="6"/>
      <c r="H178" s="6"/>
      <c r="I178" s="5"/>
    </row>
    <row r="179" spans="4:9" ht="12.75" x14ac:dyDescent="0.2">
      <c r="D179" s="12"/>
      <c r="E179" s="12"/>
      <c r="F179" s="6"/>
      <c r="G179" s="6"/>
      <c r="H179" s="6"/>
      <c r="I179" s="5"/>
    </row>
    <row r="180" spans="4:9" ht="12.75" x14ac:dyDescent="0.2">
      <c r="D180" s="12"/>
      <c r="E180" s="12"/>
      <c r="F180" s="6"/>
      <c r="G180" s="6"/>
      <c r="H180" s="6"/>
      <c r="I180" s="5"/>
    </row>
    <row r="181" spans="4:9" ht="12.75" x14ac:dyDescent="0.2">
      <c r="D181" s="12"/>
      <c r="E181" s="12"/>
      <c r="F181" s="6"/>
      <c r="G181" s="6"/>
      <c r="H181" s="6"/>
      <c r="I181" s="5"/>
    </row>
    <row r="182" spans="4:9" ht="12.75" x14ac:dyDescent="0.2">
      <c r="D182" s="12"/>
      <c r="E182" s="12"/>
      <c r="F182" s="6"/>
      <c r="G182" s="6"/>
      <c r="H182" s="6"/>
      <c r="I182" s="5"/>
    </row>
    <row r="183" spans="4:9" ht="12.75" x14ac:dyDescent="0.2">
      <c r="D183" s="12"/>
      <c r="E183" s="12"/>
      <c r="F183" s="6"/>
      <c r="G183" s="6"/>
      <c r="H183" s="6"/>
      <c r="I183" s="5"/>
    </row>
    <row r="184" spans="4:9" ht="12.75" x14ac:dyDescent="0.2">
      <c r="D184" s="12"/>
      <c r="E184" s="12"/>
      <c r="F184" s="6"/>
      <c r="G184" s="6"/>
      <c r="H184" s="6"/>
      <c r="I184" s="5"/>
    </row>
    <row r="185" spans="4:9" ht="12.75" x14ac:dyDescent="0.2">
      <c r="D185" s="12"/>
      <c r="E185" s="12"/>
      <c r="F185" s="6"/>
      <c r="G185" s="6"/>
      <c r="H185" s="6"/>
      <c r="I185" s="5"/>
    </row>
    <row r="186" spans="4:9" ht="12.75" x14ac:dyDescent="0.2">
      <c r="D186" s="12"/>
      <c r="E186" s="12"/>
      <c r="F186" s="6"/>
      <c r="G186" s="6"/>
      <c r="H186" s="6"/>
      <c r="I186" s="5"/>
    </row>
    <row r="187" spans="4:9" ht="12.75" x14ac:dyDescent="0.2">
      <c r="D187" s="12"/>
      <c r="E187" s="12"/>
      <c r="F187" s="6"/>
      <c r="G187" s="6"/>
      <c r="H187" s="6"/>
      <c r="I187" s="5"/>
    </row>
    <row r="188" spans="4:9" ht="12.75" x14ac:dyDescent="0.2">
      <c r="D188" s="12"/>
      <c r="E188" s="12"/>
      <c r="F188" s="6"/>
      <c r="G188" s="6"/>
      <c r="H188" s="6"/>
      <c r="I188" s="5"/>
    </row>
    <row r="189" spans="4:9" ht="12.75" x14ac:dyDescent="0.2">
      <c r="D189" s="12"/>
      <c r="E189" s="12"/>
      <c r="F189" s="6"/>
      <c r="G189" s="6"/>
      <c r="H189" s="6"/>
      <c r="I189" s="5"/>
    </row>
    <row r="190" spans="4:9" ht="12.75" x14ac:dyDescent="0.2">
      <c r="D190" s="12"/>
      <c r="E190" s="12"/>
      <c r="F190" s="6"/>
      <c r="G190" s="6"/>
      <c r="H190" s="6"/>
      <c r="I190" s="5"/>
    </row>
    <row r="191" spans="4:9" ht="12.75" x14ac:dyDescent="0.2">
      <c r="D191" s="12"/>
      <c r="E191" s="12"/>
      <c r="F191" s="6"/>
      <c r="G191" s="6"/>
      <c r="H191" s="6"/>
      <c r="I191" s="5"/>
    </row>
    <row r="192" spans="4:9" ht="12.75" x14ac:dyDescent="0.2">
      <c r="D192" s="12"/>
      <c r="E192" s="12"/>
      <c r="F192" s="6"/>
      <c r="G192" s="6"/>
      <c r="H192" s="6"/>
      <c r="I192" s="5"/>
    </row>
    <row r="193" spans="4:9" ht="12.75" x14ac:dyDescent="0.2">
      <c r="D193" s="12"/>
      <c r="E193" s="12"/>
      <c r="F193" s="6"/>
      <c r="G193" s="6"/>
      <c r="H193" s="6"/>
      <c r="I193" s="5"/>
    </row>
    <row r="194" spans="4:9" ht="12.75" x14ac:dyDescent="0.2">
      <c r="D194" s="12"/>
      <c r="E194" s="12"/>
      <c r="F194" s="6"/>
      <c r="G194" s="6"/>
      <c r="H194" s="6"/>
      <c r="I194" s="5"/>
    </row>
    <row r="195" spans="4:9" ht="12.75" x14ac:dyDescent="0.2">
      <c r="D195" s="12"/>
      <c r="E195" s="12"/>
      <c r="F195" s="6"/>
      <c r="G195" s="6"/>
      <c r="H195" s="6"/>
      <c r="I195" s="5"/>
    </row>
    <row r="196" spans="4:9" ht="12.75" x14ac:dyDescent="0.2">
      <c r="D196" s="12"/>
      <c r="E196" s="12"/>
      <c r="F196" s="6"/>
      <c r="G196" s="6"/>
      <c r="H196" s="6"/>
      <c r="I196" s="5"/>
    </row>
    <row r="197" spans="4:9" ht="12.75" x14ac:dyDescent="0.2">
      <c r="D197" s="12"/>
      <c r="E197" s="12"/>
      <c r="F197" s="6"/>
      <c r="G197" s="6"/>
      <c r="H197" s="6"/>
      <c r="I197" s="5"/>
    </row>
    <row r="198" spans="4:9" ht="12.75" x14ac:dyDescent="0.2">
      <c r="D198" s="12"/>
      <c r="E198" s="12"/>
      <c r="F198" s="6"/>
      <c r="G198" s="6"/>
      <c r="H198" s="6"/>
      <c r="I198" s="5"/>
    </row>
    <row r="199" spans="4:9" ht="12.75" x14ac:dyDescent="0.2">
      <c r="D199" s="12"/>
      <c r="E199" s="12"/>
      <c r="F199" s="6"/>
      <c r="G199" s="6"/>
      <c r="H199" s="6"/>
      <c r="I199" s="5"/>
    </row>
    <row r="200" spans="4:9" ht="12.75" x14ac:dyDescent="0.2">
      <c r="D200" s="12"/>
      <c r="E200" s="12"/>
      <c r="F200" s="6"/>
      <c r="G200" s="6"/>
      <c r="H200" s="6"/>
      <c r="I200" s="5"/>
    </row>
    <row r="201" spans="4:9" ht="12.75" x14ac:dyDescent="0.2">
      <c r="D201" s="12"/>
      <c r="E201" s="12"/>
      <c r="F201" s="6"/>
      <c r="G201" s="6"/>
      <c r="H201" s="6"/>
      <c r="I201" s="5"/>
    </row>
    <row r="202" spans="4:9" ht="12.75" x14ac:dyDescent="0.2">
      <c r="D202" s="12"/>
      <c r="E202" s="12"/>
      <c r="F202" s="6"/>
      <c r="G202" s="6"/>
      <c r="H202" s="6"/>
      <c r="I202" s="5"/>
    </row>
    <row r="203" spans="4:9" ht="12.75" x14ac:dyDescent="0.2">
      <c r="D203" s="12"/>
      <c r="E203" s="12"/>
      <c r="F203" s="6"/>
      <c r="G203" s="6"/>
      <c r="H203" s="6"/>
      <c r="I203" s="5"/>
    </row>
    <row r="204" spans="4:9" ht="12.75" x14ac:dyDescent="0.2">
      <c r="D204" s="12"/>
      <c r="E204" s="12"/>
      <c r="F204" s="6"/>
      <c r="G204" s="6"/>
      <c r="H204" s="6"/>
      <c r="I204" s="5"/>
    </row>
    <row r="205" spans="4:9" ht="12.75" x14ac:dyDescent="0.2">
      <c r="D205" s="12"/>
      <c r="E205" s="12"/>
      <c r="F205" s="6"/>
      <c r="G205" s="6"/>
      <c r="H205" s="6"/>
      <c r="I205" s="5"/>
    </row>
    <row r="206" spans="4:9" ht="12.75" x14ac:dyDescent="0.2">
      <c r="D206" s="12"/>
      <c r="E206" s="12"/>
      <c r="F206" s="6"/>
      <c r="G206" s="6"/>
      <c r="H206" s="6"/>
      <c r="I206" s="5"/>
    </row>
    <row r="207" spans="4:9" ht="12.75" x14ac:dyDescent="0.2">
      <c r="D207" s="12"/>
      <c r="E207" s="12"/>
      <c r="F207" s="6"/>
      <c r="G207" s="6"/>
      <c r="H207" s="6"/>
      <c r="I207" s="5"/>
    </row>
    <row r="208" spans="4:9" ht="12.75" x14ac:dyDescent="0.2">
      <c r="D208" s="12"/>
      <c r="E208" s="12"/>
      <c r="F208" s="6"/>
      <c r="G208" s="6"/>
      <c r="H208" s="6"/>
      <c r="I208" s="5"/>
    </row>
    <row r="209" spans="4:9" ht="12.75" x14ac:dyDescent="0.2">
      <c r="D209" s="12"/>
      <c r="E209" s="12"/>
      <c r="F209" s="6"/>
      <c r="G209" s="6"/>
      <c r="H209" s="6"/>
      <c r="I209" s="5"/>
    </row>
    <row r="210" spans="4:9" ht="12.75" x14ac:dyDescent="0.2">
      <c r="D210" s="12"/>
      <c r="E210" s="12"/>
      <c r="F210" s="6"/>
      <c r="G210" s="6"/>
      <c r="H210" s="6"/>
      <c r="I210" s="5"/>
    </row>
    <row r="211" spans="4:9" ht="12.75" x14ac:dyDescent="0.2">
      <c r="D211" s="12"/>
      <c r="E211" s="12"/>
      <c r="F211" s="6"/>
      <c r="G211" s="6"/>
      <c r="H211" s="6"/>
      <c r="I211" s="5"/>
    </row>
    <row r="212" spans="4:9" ht="12.75" x14ac:dyDescent="0.2">
      <c r="D212" s="12"/>
      <c r="E212" s="12"/>
      <c r="F212" s="6"/>
      <c r="G212" s="6"/>
      <c r="H212" s="6"/>
      <c r="I212" s="5"/>
    </row>
    <row r="213" spans="4:9" ht="12.75" x14ac:dyDescent="0.2">
      <c r="D213" s="12"/>
      <c r="E213" s="12"/>
      <c r="F213" s="6"/>
      <c r="G213" s="6"/>
      <c r="H213" s="6"/>
      <c r="I213" s="5"/>
    </row>
    <row r="214" spans="4:9" ht="12.75" x14ac:dyDescent="0.2">
      <c r="D214" s="12"/>
      <c r="E214" s="12"/>
      <c r="F214" s="6"/>
      <c r="G214" s="6"/>
      <c r="H214" s="6"/>
      <c r="I214" s="5"/>
    </row>
    <row r="215" spans="4:9" ht="12.75" x14ac:dyDescent="0.2">
      <c r="D215" s="12"/>
      <c r="E215" s="12"/>
      <c r="F215" s="6"/>
      <c r="G215" s="6"/>
      <c r="H215" s="6"/>
      <c r="I215" s="5"/>
    </row>
    <row r="216" spans="4:9" ht="12.75" x14ac:dyDescent="0.2">
      <c r="D216" s="12"/>
      <c r="E216" s="12"/>
      <c r="F216" s="6"/>
      <c r="G216" s="6"/>
      <c r="H216" s="6"/>
      <c r="I216" s="5"/>
    </row>
    <row r="217" spans="4:9" ht="12.75" x14ac:dyDescent="0.2">
      <c r="D217" s="12"/>
      <c r="E217" s="12"/>
      <c r="F217" s="6"/>
      <c r="G217" s="6"/>
      <c r="H217" s="6"/>
      <c r="I217" s="5"/>
    </row>
    <row r="218" spans="4:9" ht="12.75" x14ac:dyDescent="0.2">
      <c r="D218" s="12"/>
      <c r="E218" s="12"/>
      <c r="F218" s="6"/>
      <c r="G218" s="6"/>
      <c r="H218" s="6"/>
      <c r="I218" s="5"/>
    </row>
    <row r="219" spans="4:9" ht="12.75" x14ac:dyDescent="0.2">
      <c r="D219" s="12"/>
      <c r="E219" s="12"/>
      <c r="F219" s="6"/>
      <c r="G219" s="6"/>
      <c r="H219" s="6"/>
      <c r="I219" s="5"/>
    </row>
    <row r="220" spans="4:9" ht="12.75" x14ac:dyDescent="0.2">
      <c r="D220" s="12"/>
      <c r="E220" s="12"/>
      <c r="F220" s="6"/>
      <c r="G220" s="6"/>
      <c r="H220" s="6"/>
      <c r="I220" s="5"/>
    </row>
    <row r="221" spans="4:9" ht="12.75" x14ac:dyDescent="0.2">
      <c r="D221" s="12"/>
      <c r="E221" s="12"/>
      <c r="F221" s="6"/>
      <c r="G221" s="6"/>
      <c r="H221" s="6"/>
      <c r="I221" s="5"/>
    </row>
    <row r="222" spans="4:9" ht="12.75" x14ac:dyDescent="0.2">
      <c r="D222" s="12"/>
      <c r="E222" s="12"/>
      <c r="F222" s="6"/>
      <c r="G222" s="6"/>
      <c r="H222" s="6"/>
      <c r="I222" s="5"/>
    </row>
    <row r="223" spans="4:9" ht="12.75" x14ac:dyDescent="0.2">
      <c r="D223" s="12"/>
      <c r="E223" s="12"/>
      <c r="F223" s="6"/>
      <c r="G223" s="6"/>
      <c r="H223" s="6"/>
      <c r="I223" s="5"/>
    </row>
    <row r="224" spans="4:9" ht="12.75" x14ac:dyDescent="0.2">
      <c r="D224" s="12"/>
      <c r="E224" s="12"/>
      <c r="F224" s="6"/>
      <c r="G224" s="6"/>
      <c r="H224" s="6"/>
      <c r="I224" s="5"/>
    </row>
    <row r="225" spans="4:9" ht="12.75" x14ac:dyDescent="0.2">
      <c r="D225" s="12"/>
      <c r="E225" s="12"/>
      <c r="F225" s="6"/>
      <c r="G225" s="6"/>
      <c r="H225" s="6"/>
      <c r="I225" s="5"/>
    </row>
    <row r="226" spans="4:9" ht="12.75" x14ac:dyDescent="0.2">
      <c r="D226" s="12"/>
      <c r="E226" s="12"/>
      <c r="F226" s="6"/>
      <c r="G226" s="6"/>
      <c r="H226" s="6"/>
      <c r="I226" s="5"/>
    </row>
    <row r="227" spans="4:9" ht="12.75" x14ac:dyDescent="0.2">
      <c r="D227" s="12"/>
      <c r="E227" s="12"/>
      <c r="F227" s="6"/>
      <c r="G227" s="6"/>
      <c r="H227" s="6"/>
      <c r="I227" s="5"/>
    </row>
    <row r="228" spans="4:9" ht="12.75" x14ac:dyDescent="0.2">
      <c r="D228" s="12"/>
      <c r="E228" s="12"/>
      <c r="F228" s="6"/>
      <c r="G228" s="6"/>
      <c r="H228" s="6"/>
      <c r="I228" s="5"/>
    </row>
    <row r="229" spans="4:9" ht="12.75" x14ac:dyDescent="0.2">
      <c r="D229" s="12"/>
      <c r="E229" s="12"/>
      <c r="F229" s="6"/>
      <c r="G229" s="6"/>
      <c r="H229" s="6"/>
      <c r="I229" s="5"/>
    </row>
    <row r="230" spans="4:9" ht="12.75" x14ac:dyDescent="0.2">
      <c r="D230" s="12"/>
      <c r="E230" s="12"/>
      <c r="F230" s="6"/>
      <c r="G230" s="6"/>
      <c r="H230" s="6"/>
      <c r="I230" s="5"/>
    </row>
    <row r="231" spans="4:9" ht="12.75" x14ac:dyDescent="0.2">
      <c r="D231" s="12"/>
      <c r="E231" s="12"/>
      <c r="F231" s="6"/>
      <c r="G231" s="6"/>
      <c r="H231" s="6"/>
      <c r="I231" s="5"/>
    </row>
    <row r="232" spans="4:9" ht="12.75" x14ac:dyDescent="0.2">
      <c r="D232" s="12"/>
      <c r="E232" s="12"/>
      <c r="F232" s="6"/>
      <c r="G232" s="6"/>
      <c r="H232" s="6"/>
      <c r="I232" s="5"/>
    </row>
    <row r="233" spans="4:9" ht="12.75" x14ac:dyDescent="0.2">
      <c r="D233" s="12"/>
      <c r="E233" s="12"/>
      <c r="F233" s="6"/>
      <c r="G233" s="6"/>
      <c r="H233" s="6"/>
      <c r="I233" s="5"/>
    </row>
    <row r="234" spans="4:9" ht="12.75" x14ac:dyDescent="0.2">
      <c r="D234" s="12"/>
      <c r="E234" s="12"/>
      <c r="F234" s="6"/>
      <c r="G234" s="6"/>
      <c r="H234" s="6"/>
      <c r="I234" s="5"/>
    </row>
    <row r="235" spans="4:9" ht="12.75" x14ac:dyDescent="0.2">
      <c r="D235" s="12"/>
      <c r="E235" s="12"/>
      <c r="F235" s="6"/>
      <c r="G235" s="6"/>
      <c r="H235" s="6"/>
      <c r="I235" s="5"/>
    </row>
    <row r="236" spans="4:9" ht="12.75" x14ac:dyDescent="0.2">
      <c r="D236" s="12"/>
      <c r="E236" s="12"/>
      <c r="F236" s="6"/>
      <c r="G236" s="6"/>
      <c r="H236" s="6"/>
      <c r="I236" s="5"/>
    </row>
    <row r="237" spans="4:9" ht="12.75" x14ac:dyDescent="0.2">
      <c r="D237" s="12"/>
      <c r="E237" s="12"/>
      <c r="F237" s="6"/>
      <c r="G237" s="6"/>
      <c r="H237" s="6"/>
      <c r="I237" s="5"/>
    </row>
    <row r="238" spans="4:9" ht="12.75" x14ac:dyDescent="0.2">
      <c r="D238" s="12"/>
      <c r="E238" s="12"/>
      <c r="F238" s="6"/>
      <c r="G238" s="6"/>
      <c r="H238" s="6"/>
      <c r="I238" s="5"/>
    </row>
    <row r="239" spans="4:9" ht="12.75" x14ac:dyDescent="0.2">
      <c r="D239" s="12"/>
      <c r="E239" s="12"/>
      <c r="F239" s="6"/>
      <c r="G239" s="6"/>
      <c r="H239" s="6"/>
      <c r="I239" s="5"/>
    </row>
    <row r="240" spans="4:9" ht="12.75" x14ac:dyDescent="0.2">
      <c r="D240" s="12"/>
      <c r="E240" s="12"/>
      <c r="F240" s="6"/>
      <c r="G240" s="6"/>
      <c r="H240" s="6"/>
      <c r="I240" s="5"/>
    </row>
    <row r="241" spans="4:9" ht="12.75" x14ac:dyDescent="0.2">
      <c r="D241" s="12"/>
      <c r="E241" s="12"/>
      <c r="F241" s="6"/>
      <c r="G241" s="6"/>
      <c r="H241" s="6"/>
      <c r="I241" s="5"/>
    </row>
    <row r="242" spans="4:9" ht="12.75" x14ac:dyDescent="0.2">
      <c r="D242" s="12"/>
      <c r="E242" s="12"/>
      <c r="F242" s="6"/>
      <c r="G242" s="6"/>
      <c r="H242" s="6"/>
      <c r="I242" s="5"/>
    </row>
    <row r="243" spans="4:9" ht="12.75" x14ac:dyDescent="0.2">
      <c r="D243" s="12"/>
      <c r="E243" s="12"/>
      <c r="F243" s="6"/>
      <c r="G243" s="6"/>
      <c r="H243" s="6"/>
      <c r="I243" s="5"/>
    </row>
    <row r="244" spans="4:9" ht="12.75" x14ac:dyDescent="0.2">
      <c r="D244" s="12"/>
      <c r="E244" s="12"/>
      <c r="F244" s="6"/>
      <c r="G244" s="6"/>
      <c r="H244" s="6"/>
      <c r="I244" s="5"/>
    </row>
    <row r="245" spans="4:9" ht="12.75" x14ac:dyDescent="0.2">
      <c r="D245" s="12"/>
      <c r="E245" s="12"/>
      <c r="F245" s="6"/>
      <c r="G245" s="6"/>
      <c r="H245" s="6"/>
      <c r="I245" s="5"/>
    </row>
    <row r="246" spans="4:9" ht="12.75" x14ac:dyDescent="0.2">
      <c r="D246" s="12"/>
      <c r="E246" s="12"/>
      <c r="F246" s="6"/>
      <c r="G246" s="6"/>
      <c r="H246" s="6"/>
      <c r="I246" s="5"/>
    </row>
    <row r="247" spans="4:9" ht="12.75" x14ac:dyDescent="0.2">
      <c r="D247" s="12"/>
      <c r="E247" s="12"/>
      <c r="F247" s="6"/>
      <c r="G247" s="6"/>
      <c r="H247" s="6"/>
      <c r="I247" s="5"/>
    </row>
    <row r="248" spans="4:9" ht="12.75" x14ac:dyDescent="0.2">
      <c r="D248" s="12"/>
      <c r="E248" s="12"/>
      <c r="F248" s="6"/>
      <c r="G248" s="6"/>
      <c r="H248" s="6"/>
      <c r="I248" s="5"/>
    </row>
    <row r="249" spans="4:9" ht="12.75" x14ac:dyDescent="0.2">
      <c r="D249" s="12"/>
      <c r="E249" s="12"/>
      <c r="F249" s="6"/>
      <c r="G249" s="6"/>
      <c r="H249" s="6"/>
      <c r="I249" s="5"/>
    </row>
    <row r="250" spans="4:9" ht="12.75" x14ac:dyDescent="0.2">
      <c r="D250" s="12"/>
      <c r="E250" s="12"/>
      <c r="F250" s="6"/>
      <c r="G250" s="6"/>
      <c r="H250" s="6"/>
      <c r="I250" s="5"/>
    </row>
    <row r="251" spans="4:9" ht="12.75" x14ac:dyDescent="0.2">
      <c r="D251" s="12"/>
      <c r="E251" s="12"/>
      <c r="F251" s="6"/>
      <c r="G251" s="6"/>
      <c r="H251" s="6"/>
      <c r="I251" s="5"/>
    </row>
    <row r="252" spans="4:9" ht="12.75" x14ac:dyDescent="0.2">
      <c r="D252" s="12"/>
      <c r="E252" s="12"/>
      <c r="F252" s="6"/>
      <c r="G252" s="6"/>
      <c r="H252" s="6"/>
      <c r="I252" s="5"/>
    </row>
    <row r="253" spans="4:9" ht="12.75" x14ac:dyDescent="0.2">
      <c r="D253" s="12"/>
      <c r="E253" s="12"/>
      <c r="F253" s="6"/>
      <c r="G253" s="6"/>
      <c r="H253" s="6"/>
      <c r="I253" s="5"/>
    </row>
    <row r="254" spans="4:9" ht="12.75" x14ac:dyDescent="0.2">
      <c r="D254" s="12"/>
      <c r="E254" s="12"/>
      <c r="F254" s="6"/>
      <c r="G254" s="6"/>
      <c r="H254" s="6"/>
      <c r="I254" s="5"/>
    </row>
    <row r="255" spans="4:9" ht="12.75" x14ac:dyDescent="0.2">
      <c r="D255" s="12"/>
      <c r="E255" s="12"/>
      <c r="F255" s="6"/>
      <c r="G255" s="6"/>
      <c r="H255" s="6"/>
      <c r="I255" s="5"/>
    </row>
    <row r="256" spans="4:9" ht="12.75" x14ac:dyDescent="0.2">
      <c r="D256" s="12"/>
      <c r="E256" s="12"/>
      <c r="F256" s="6"/>
      <c r="G256" s="6"/>
      <c r="H256" s="6"/>
      <c r="I256" s="5"/>
    </row>
    <row r="257" spans="4:9" ht="12.75" x14ac:dyDescent="0.2">
      <c r="D257" s="12"/>
      <c r="E257" s="12"/>
      <c r="F257" s="6"/>
      <c r="G257" s="6"/>
      <c r="H257" s="6"/>
      <c r="I257" s="5"/>
    </row>
    <row r="258" spans="4:9" ht="12.75" x14ac:dyDescent="0.2">
      <c r="D258" s="12"/>
      <c r="E258" s="12"/>
      <c r="F258" s="6"/>
      <c r="G258" s="6"/>
      <c r="H258" s="6"/>
      <c r="I258" s="5"/>
    </row>
    <row r="259" spans="4:9" ht="12.75" x14ac:dyDescent="0.2">
      <c r="D259" s="12"/>
      <c r="E259" s="12"/>
      <c r="F259" s="6"/>
      <c r="G259" s="6"/>
      <c r="H259" s="6"/>
      <c r="I259" s="5"/>
    </row>
    <row r="260" spans="4:9" ht="12.75" x14ac:dyDescent="0.2">
      <c r="D260" s="12"/>
      <c r="E260" s="12"/>
      <c r="F260" s="6"/>
      <c r="G260" s="6"/>
      <c r="H260" s="6"/>
      <c r="I260" s="5"/>
    </row>
    <row r="261" spans="4:9" ht="12.75" x14ac:dyDescent="0.2">
      <c r="D261" s="12"/>
      <c r="E261" s="12"/>
      <c r="F261" s="6"/>
      <c r="G261" s="6"/>
      <c r="H261" s="6"/>
      <c r="I261" s="5"/>
    </row>
    <row r="262" spans="4:9" ht="12.75" x14ac:dyDescent="0.2">
      <c r="D262" s="12"/>
      <c r="E262" s="12"/>
      <c r="F262" s="6"/>
      <c r="G262" s="6"/>
      <c r="H262" s="6"/>
      <c r="I262" s="5"/>
    </row>
    <row r="263" spans="4:9" ht="12.75" x14ac:dyDescent="0.2">
      <c r="D263" s="12"/>
      <c r="E263" s="12"/>
      <c r="F263" s="6"/>
      <c r="G263" s="6"/>
      <c r="H263" s="6"/>
      <c r="I263" s="5"/>
    </row>
    <row r="264" spans="4:9" ht="12.75" x14ac:dyDescent="0.2">
      <c r="D264" s="12"/>
      <c r="E264" s="12"/>
      <c r="F264" s="6"/>
      <c r="G264" s="6"/>
      <c r="H264" s="6"/>
      <c r="I264" s="5"/>
    </row>
    <row r="265" spans="4:9" ht="12.75" x14ac:dyDescent="0.2">
      <c r="D265" s="12"/>
      <c r="E265" s="12"/>
      <c r="F265" s="6"/>
      <c r="G265" s="6"/>
      <c r="H265" s="6"/>
      <c r="I265" s="5"/>
    </row>
    <row r="266" spans="4:9" ht="12.75" x14ac:dyDescent="0.2">
      <c r="D266" s="12"/>
      <c r="E266" s="12"/>
      <c r="F266" s="6"/>
      <c r="G266" s="6"/>
      <c r="H266" s="6"/>
      <c r="I266" s="5"/>
    </row>
    <row r="267" spans="4:9" ht="12.75" x14ac:dyDescent="0.2">
      <c r="D267" s="12"/>
      <c r="E267" s="12"/>
      <c r="F267" s="6"/>
      <c r="G267" s="6"/>
      <c r="H267" s="6"/>
      <c r="I267" s="5"/>
    </row>
    <row r="268" spans="4:9" ht="12.75" x14ac:dyDescent="0.2">
      <c r="D268" s="12"/>
      <c r="E268" s="12"/>
      <c r="F268" s="6"/>
      <c r="G268" s="6"/>
      <c r="H268" s="6"/>
      <c r="I268" s="5"/>
    </row>
    <row r="269" spans="4:9" ht="12.75" x14ac:dyDescent="0.2">
      <c r="D269" s="12"/>
      <c r="E269" s="12"/>
      <c r="F269" s="6"/>
      <c r="G269" s="6"/>
      <c r="H269" s="6"/>
      <c r="I269" s="5"/>
    </row>
    <row r="270" spans="4:9" ht="12.75" x14ac:dyDescent="0.2">
      <c r="D270" s="12"/>
      <c r="E270" s="12"/>
      <c r="F270" s="6"/>
      <c r="G270" s="6"/>
      <c r="H270" s="6"/>
      <c r="I270" s="5"/>
    </row>
    <row r="271" spans="4:9" ht="12.75" x14ac:dyDescent="0.2">
      <c r="D271" s="12"/>
      <c r="E271" s="12"/>
      <c r="F271" s="6"/>
      <c r="G271" s="6"/>
      <c r="H271" s="6"/>
      <c r="I271" s="5"/>
    </row>
    <row r="272" spans="4:9" ht="12.75" x14ac:dyDescent="0.2">
      <c r="D272" s="12"/>
      <c r="E272" s="12"/>
      <c r="F272" s="6"/>
      <c r="G272" s="6"/>
      <c r="H272" s="6"/>
      <c r="I272" s="5"/>
    </row>
    <row r="273" spans="4:9" ht="12.75" x14ac:dyDescent="0.2">
      <c r="D273" s="12"/>
      <c r="E273" s="12"/>
      <c r="F273" s="6"/>
      <c r="G273" s="6"/>
      <c r="H273" s="6"/>
      <c r="I273" s="5"/>
    </row>
    <row r="274" spans="4:9" ht="12.75" x14ac:dyDescent="0.2">
      <c r="D274" s="12"/>
      <c r="E274" s="12"/>
      <c r="F274" s="6"/>
      <c r="G274" s="6"/>
      <c r="H274" s="6"/>
      <c r="I274" s="5"/>
    </row>
    <row r="275" spans="4:9" ht="12.75" x14ac:dyDescent="0.2">
      <c r="D275" s="12"/>
      <c r="E275" s="12"/>
      <c r="F275" s="6"/>
      <c r="G275" s="6"/>
      <c r="H275" s="6"/>
      <c r="I275" s="5"/>
    </row>
    <row r="276" spans="4:9" ht="12.75" x14ac:dyDescent="0.2">
      <c r="D276" s="12"/>
      <c r="E276" s="12"/>
      <c r="F276" s="6"/>
      <c r="G276" s="6"/>
      <c r="H276" s="6"/>
      <c r="I276" s="5"/>
    </row>
    <row r="277" spans="4:9" ht="12.75" x14ac:dyDescent="0.2">
      <c r="D277" s="12"/>
      <c r="E277" s="12"/>
      <c r="F277" s="6"/>
      <c r="G277" s="6"/>
      <c r="H277" s="6"/>
      <c r="I277" s="5"/>
    </row>
    <row r="278" spans="4:9" ht="12.75" x14ac:dyDescent="0.2">
      <c r="D278" s="12"/>
      <c r="E278" s="12"/>
      <c r="F278" s="6"/>
      <c r="G278" s="6"/>
      <c r="H278" s="6"/>
      <c r="I278" s="5"/>
    </row>
    <row r="279" spans="4:9" ht="12.75" x14ac:dyDescent="0.2">
      <c r="D279" s="12"/>
      <c r="E279" s="12"/>
      <c r="F279" s="6"/>
      <c r="G279" s="6"/>
      <c r="H279" s="6"/>
      <c r="I279" s="5"/>
    </row>
    <row r="280" spans="4:9" ht="12.75" x14ac:dyDescent="0.2">
      <c r="D280" s="12"/>
      <c r="E280" s="12"/>
      <c r="F280" s="6"/>
      <c r="G280" s="6"/>
      <c r="H280" s="6"/>
      <c r="I280" s="5"/>
    </row>
    <row r="281" spans="4:9" ht="12.75" x14ac:dyDescent="0.2">
      <c r="D281" s="12"/>
      <c r="E281" s="12"/>
      <c r="F281" s="6"/>
      <c r="G281" s="6"/>
      <c r="H281" s="6"/>
      <c r="I281" s="5"/>
    </row>
    <row r="282" spans="4:9" ht="12.75" x14ac:dyDescent="0.2">
      <c r="D282" s="12"/>
      <c r="E282" s="12"/>
      <c r="F282" s="6"/>
      <c r="G282" s="6"/>
      <c r="H282" s="6"/>
      <c r="I282" s="5"/>
    </row>
    <row r="283" spans="4:9" ht="12.75" x14ac:dyDescent="0.2">
      <c r="D283" s="12"/>
      <c r="E283" s="12"/>
      <c r="F283" s="6"/>
      <c r="G283" s="6"/>
      <c r="H283" s="6"/>
      <c r="I283" s="5"/>
    </row>
    <row r="284" spans="4:9" ht="12.75" x14ac:dyDescent="0.2">
      <c r="D284" s="12"/>
      <c r="E284" s="12"/>
      <c r="F284" s="6"/>
      <c r="G284" s="6"/>
      <c r="H284" s="6"/>
      <c r="I284" s="5"/>
    </row>
    <row r="285" spans="4:9" ht="12.75" x14ac:dyDescent="0.2">
      <c r="D285" s="12"/>
      <c r="E285" s="12"/>
      <c r="F285" s="6"/>
      <c r="G285" s="6"/>
      <c r="H285" s="6"/>
      <c r="I285" s="5"/>
    </row>
    <row r="286" spans="4:9" ht="12.75" x14ac:dyDescent="0.2">
      <c r="D286" s="12"/>
      <c r="E286" s="12"/>
      <c r="F286" s="6"/>
      <c r="G286" s="6"/>
      <c r="H286" s="6"/>
      <c r="I286" s="5"/>
    </row>
    <row r="287" spans="4:9" ht="12.75" x14ac:dyDescent="0.2">
      <c r="D287" s="12"/>
      <c r="E287" s="12"/>
      <c r="F287" s="6"/>
      <c r="G287" s="6"/>
      <c r="H287" s="6"/>
      <c r="I287" s="5"/>
    </row>
    <row r="288" spans="4:9" ht="12.75" x14ac:dyDescent="0.2">
      <c r="D288" s="12"/>
      <c r="E288" s="12"/>
      <c r="F288" s="6"/>
      <c r="G288" s="6"/>
      <c r="H288" s="6"/>
      <c r="I288" s="5"/>
    </row>
    <row r="289" spans="4:9" ht="12.75" x14ac:dyDescent="0.2">
      <c r="D289" s="12"/>
      <c r="E289" s="12"/>
      <c r="F289" s="6"/>
      <c r="G289" s="6"/>
      <c r="H289" s="6"/>
      <c r="I289" s="5"/>
    </row>
    <row r="290" spans="4:9" ht="12.75" x14ac:dyDescent="0.2">
      <c r="D290" s="12"/>
      <c r="E290" s="12"/>
      <c r="F290" s="6"/>
      <c r="G290" s="6"/>
      <c r="H290" s="6"/>
      <c r="I290" s="5"/>
    </row>
    <row r="291" spans="4:9" ht="12.75" x14ac:dyDescent="0.2">
      <c r="D291" s="12"/>
      <c r="E291" s="12"/>
      <c r="F291" s="6"/>
      <c r="G291" s="6"/>
      <c r="H291" s="6"/>
      <c r="I291" s="5"/>
    </row>
    <row r="292" spans="4:9" ht="12.75" x14ac:dyDescent="0.2">
      <c r="D292" s="12"/>
      <c r="E292" s="12"/>
      <c r="F292" s="6"/>
      <c r="G292" s="6"/>
      <c r="H292" s="6"/>
      <c r="I292" s="5"/>
    </row>
    <row r="293" spans="4:9" ht="12.75" x14ac:dyDescent="0.2">
      <c r="D293" s="12"/>
      <c r="E293" s="12"/>
      <c r="F293" s="6"/>
      <c r="G293" s="6"/>
      <c r="H293" s="6"/>
      <c r="I293" s="5"/>
    </row>
    <row r="294" spans="4:9" ht="12.75" x14ac:dyDescent="0.2">
      <c r="D294" s="12"/>
      <c r="E294" s="12"/>
      <c r="F294" s="6"/>
      <c r="G294" s="6"/>
      <c r="H294" s="6"/>
      <c r="I294" s="5"/>
    </row>
    <row r="295" spans="4:9" ht="12.75" x14ac:dyDescent="0.2">
      <c r="D295" s="12"/>
      <c r="E295" s="12"/>
      <c r="F295" s="6"/>
      <c r="G295" s="6"/>
      <c r="H295" s="6"/>
      <c r="I295" s="5"/>
    </row>
    <row r="296" spans="4:9" ht="12.75" x14ac:dyDescent="0.2">
      <c r="D296" s="12"/>
      <c r="E296" s="12"/>
      <c r="F296" s="6"/>
      <c r="G296" s="6"/>
      <c r="H296" s="6"/>
      <c r="I296" s="5"/>
    </row>
    <row r="297" spans="4:9" ht="12.75" x14ac:dyDescent="0.2">
      <c r="D297" s="12"/>
      <c r="E297" s="12"/>
      <c r="F297" s="6"/>
      <c r="G297" s="6"/>
      <c r="H297" s="6"/>
      <c r="I297" s="5"/>
    </row>
    <row r="298" spans="4:9" ht="12.75" x14ac:dyDescent="0.2">
      <c r="D298" s="12"/>
      <c r="E298" s="12"/>
      <c r="F298" s="6"/>
      <c r="G298" s="6"/>
      <c r="H298" s="6"/>
      <c r="I298" s="5"/>
    </row>
    <row r="299" spans="4:9" ht="12.75" x14ac:dyDescent="0.2">
      <c r="D299" s="12"/>
      <c r="E299" s="12"/>
      <c r="F299" s="6"/>
      <c r="G299" s="6"/>
      <c r="H299" s="6"/>
      <c r="I299" s="5"/>
    </row>
    <row r="300" spans="4:9" ht="12.75" x14ac:dyDescent="0.2">
      <c r="D300" s="12"/>
      <c r="E300" s="12"/>
      <c r="F300" s="6"/>
      <c r="G300" s="6"/>
      <c r="H300" s="6"/>
      <c r="I300" s="5"/>
    </row>
    <row r="301" spans="4:9" ht="12.75" x14ac:dyDescent="0.2">
      <c r="D301" s="12"/>
      <c r="E301" s="12"/>
      <c r="F301" s="6"/>
      <c r="G301" s="6"/>
      <c r="H301" s="6"/>
      <c r="I301" s="5"/>
    </row>
    <row r="302" spans="4:9" ht="12.75" x14ac:dyDescent="0.2">
      <c r="D302" s="12"/>
      <c r="E302" s="12"/>
      <c r="F302" s="6"/>
      <c r="G302" s="6"/>
      <c r="H302" s="6"/>
      <c r="I302" s="5"/>
    </row>
    <row r="303" spans="4:9" ht="12.75" x14ac:dyDescent="0.2">
      <c r="D303" s="12"/>
      <c r="E303" s="12"/>
      <c r="F303" s="6"/>
      <c r="G303" s="6"/>
      <c r="H303" s="6"/>
      <c r="I303" s="5"/>
    </row>
    <row r="304" spans="4:9" ht="12.75" x14ac:dyDescent="0.2">
      <c r="D304" s="12"/>
      <c r="E304" s="12"/>
      <c r="F304" s="6"/>
      <c r="G304" s="6"/>
      <c r="H304" s="6"/>
      <c r="I304" s="5"/>
    </row>
    <row r="305" spans="4:9" ht="12.75" x14ac:dyDescent="0.2">
      <c r="D305" s="12"/>
      <c r="E305" s="12"/>
      <c r="F305" s="6"/>
      <c r="G305" s="6"/>
      <c r="H305" s="6"/>
      <c r="I305" s="5"/>
    </row>
    <row r="306" spans="4:9" ht="12.75" x14ac:dyDescent="0.2">
      <c r="D306" s="12"/>
      <c r="E306" s="12"/>
      <c r="F306" s="6"/>
      <c r="G306" s="6"/>
      <c r="H306" s="6"/>
      <c r="I306" s="5"/>
    </row>
    <row r="307" spans="4:9" ht="12.75" x14ac:dyDescent="0.2">
      <c r="D307" s="12"/>
      <c r="E307" s="12"/>
      <c r="F307" s="6"/>
      <c r="G307" s="6"/>
      <c r="H307" s="6"/>
      <c r="I307" s="5"/>
    </row>
    <row r="308" spans="4:9" ht="12.75" x14ac:dyDescent="0.2">
      <c r="D308" s="12"/>
      <c r="E308" s="12"/>
      <c r="F308" s="6"/>
      <c r="G308" s="6"/>
      <c r="H308" s="6"/>
      <c r="I308" s="5"/>
    </row>
    <row r="309" spans="4:9" ht="12.75" x14ac:dyDescent="0.2">
      <c r="D309" s="12"/>
      <c r="E309" s="12"/>
      <c r="F309" s="6"/>
      <c r="G309" s="6"/>
      <c r="H309" s="6"/>
      <c r="I309" s="5"/>
    </row>
    <row r="310" spans="4:9" ht="12.75" x14ac:dyDescent="0.2">
      <c r="D310" s="12"/>
      <c r="E310" s="12"/>
      <c r="F310" s="6"/>
      <c r="G310" s="6"/>
      <c r="H310" s="6"/>
      <c r="I310" s="5"/>
    </row>
    <row r="311" spans="4:9" ht="12.75" x14ac:dyDescent="0.2">
      <c r="D311" s="12"/>
      <c r="E311" s="12"/>
      <c r="F311" s="6"/>
      <c r="G311" s="6"/>
      <c r="H311" s="6"/>
      <c r="I311" s="5"/>
    </row>
    <row r="312" spans="4:9" ht="12.75" x14ac:dyDescent="0.2">
      <c r="D312" s="12"/>
      <c r="E312" s="12"/>
      <c r="F312" s="6"/>
      <c r="G312" s="6"/>
      <c r="H312" s="6"/>
      <c r="I312" s="5"/>
    </row>
    <row r="313" spans="4:9" ht="12.75" x14ac:dyDescent="0.2">
      <c r="D313" s="12"/>
      <c r="E313" s="12"/>
      <c r="F313" s="6"/>
      <c r="G313" s="6"/>
      <c r="H313" s="6"/>
      <c r="I313" s="5"/>
    </row>
    <row r="314" spans="4:9" ht="12.75" x14ac:dyDescent="0.2">
      <c r="D314" s="12"/>
      <c r="E314" s="12"/>
      <c r="F314" s="6"/>
      <c r="G314" s="6"/>
      <c r="H314" s="6"/>
      <c r="I314" s="5"/>
    </row>
    <row r="315" spans="4:9" ht="12.75" x14ac:dyDescent="0.2">
      <c r="D315" s="12"/>
      <c r="E315" s="12"/>
      <c r="F315" s="6"/>
      <c r="G315" s="6"/>
      <c r="H315" s="6"/>
      <c r="I315" s="5"/>
    </row>
    <row r="316" spans="4:9" ht="12.75" x14ac:dyDescent="0.2">
      <c r="D316" s="12"/>
      <c r="E316" s="12"/>
      <c r="F316" s="6"/>
      <c r="G316" s="6"/>
      <c r="H316" s="6"/>
      <c r="I316" s="5"/>
    </row>
    <row r="317" spans="4:9" ht="12.75" x14ac:dyDescent="0.2">
      <c r="D317" s="12"/>
      <c r="E317" s="12"/>
      <c r="F317" s="6"/>
      <c r="G317" s="6"/>
      <c r="H317" s="6"/>
      <c r="I317" s="5"/>
    </row>
    <row r="318" spans="4:9" ht="12.75" x14ac:dyDescent="0.2">
      <c r="D318" s="12"/>
      <c r="E318" s="12"/>
      <c r="F318" s="6"/>
      <c r="G318" s="6"/>
      <c r="H318" s="6"/>
      <c r="I318" s="5"/>
    </row>
    <row r="319" spans="4:9" ht="12.75" x14ac:dyDescent="0.2">
      <c r="D319" s="12"/>
      <c r="E319" s="12"/>
      <c r="F319" s="6"/>
      <c r="G319" s="6"/>
      <c r="H319" s="6"/>
      <c r="I319" s="5"/>
    </row>
    <row r="320" spans="4:9" ht="12.75" x14ac:dyDescent="0.2">
      <c r="D320" s="12"/>
      <c r="E320" s="12"/>
      <c r="F320" s="6"/>
      <c r="G320" s="6"/>
      <c r="H320" s="6"/>
      <c r="I320" s="5"/>
    </row>
    <row r="321" spans="4:9" ht="12.75" x14ac:dyDescent="0.2">
      <c r="D321" s="12"/>
      <c r="E321" s="12"/>
      <c r="F321" s="6"/>
      <c r="G321" s="6"/>
      <c r="H321" s="6"/>
      <c r="I321" s="5"/>
    </row>
    <row r="322" spans="4:9" ht="12.75" x14ac:dyDescent="0.2">
      <c r="D322" s="12"/>
      <c r="E322" s="12"/>
      <c r="F322" s="6"/>
      <c r="G322" s="6"/>
      <c r="H322" s="6"/>
      <c r="I322" s="5"/>
    </row>
    <row r="323" spans="4:9" ht="12.75" x14ac:dyDescent="0.2">
      <c r="D323" s="12"/>
      <c r="E323" s="12"/>
      <c r="F323" s="6"/>
      <c r="G323" s="6"/>
      <c r="H323" s="6"/>
      <c r="I323" s="5"/>
    </row>
    <row r="324" spans="4:9" ht="12.75" x14ac:dyDescent="0.2">
      <c r="D324" s="12"/>
      <c r="E324" s="12"/>
      <c r="F324" s="6"/>
      <c r="G324" s="6"/>
      <c r="H324" s="6"/>
      <c r="I324" s="5"/>
    </row>
    <row r="325" spans="4:9" ht="12.75" x14ac:dyDescent="0.2">
      <c r="D325" s="12"/>
      <c r="E325" s="12"/>
      <c r="F325" s="6"/>
      <c r="G325" s="6"/>
      <c r="H325" s="6"/>
      <c r="I325" s="5"/>
    </row>
    <row r="326" spans="4:9" ht="12.75" x14ac:dyDescent="0.2">
      <c r="D326" s="12"/>
      <c r="E326" s="12"/>
      <c r="F326" s="6"/>
      <c r="G326" s="6"/>
      <c r="H326" s="6"/>
      <c r="I326" s="5"/>
    </row>
    <row r="327" spans="4:9" ht="12.75" x14ac:dyDescent="0.2">
      <c r="D327" s="12"/>
      <c r="E327" s="12"/>
      <c r="F327" s="6"/>
      <c r="G327" s="6"/>
      <c r="H327" s="6"/>
      <c r="I327" s="5"/>
    </row>
    <row r="328" spans="4:9" ht="12.75" x14ac:dyDescent="0.2">
      <c r="D328" s="12"/>
      <c r="E328" s="12"/>
      <c r="F328" s="6"/>
      <c r="G328" s="6"/>
      <c r="H328" s="6"/>
      <c r="I328" s="5"/>
    </row>
    <row r="329" spans="4:9" ht="12.75" x14ac:dyDescent="0.2">
      <c r="D329" s="12"/>
      <c r="E329" s="12"/>
      <c r="F329" s="6"/>
      <c r="G329" s="6"/>
      <c r="H329" s="6"/>
      <c r="I329" s="5"/>
    </row>
    <row r="330" spans="4:9" ht="12.75" x14ac:dyDescent="0.2">
      <c r="D330" s="12"/>
      <c r="E330" s="12"/>
      <c r="F330" s="6"/>
      <c r="G330" s="6"/>
      <c r="H330" s="6"/>
      <c r="I330" s="5"/>
    </row>
    <row r="331" spans="4:9" ht="12.75" x14ac:dyDescent="0.2">
      <c r="D331" s="12"/>
      <c r="E331" s="12"/>
      <c r="F331" s="6"/>
      <c r="G331" s="6"/>
      <c r="H331" s="6"/>
      <c r="I331" s="5"/>
    </row>
    <row r="332" spans="4:9" ht="12.75" x14ac:dyDescent="0.2">
      <c r="D332" s="12"/>
      <c r="E332" s="12"/>
      <c r="F332" s="6"/>
      <c r="G332" s="6"/>
      <c r="H332" s="6"/>
      <c r="I332" s="5"/>
    </row>
    <row r="333" spans="4:9" ht="12.75" x14ac:dyDescent="0.2">
      <c r="D333" s="12"/>
      <c r="E333" s="12"/>
      <c r="F333" s="6"/>
      <c r="G333" s="6"/>
      <c r="H333" s="6"/>
      <c r="I333" s="5"/>
    </row>
    <row r="334" spans="4:9" ht="12.75" x14ac:dyDescent="0.2">
      <c r="D334" s="12"/>
      <c r="E334" s="12"/>
      <c r="F334" s="6"/>
      <c r="G334" s="6"/>
      <c r="H334" s="6"/>
      <c r="I334" s="5"/>
    </row>
    <row r="335" spans="4:9" ht="12.75" x14ac:dyDescent="0.2">
      <c r="D335" s="12"/>
      <c r="E335" s="12"/>
      <c r="F335" s="6"/>
      <c r="G335" s="6"/>
      <c r="H335" s="6"/>
      <c r="I335" s="5"/>
    </row>
    <row r="336" spans="4:9" ht="12.75" x14ac:dyDescent="0.2">
      <c r="D336" s="12"/>
      <c r="E336" s="12"/>
      <c r="F336" s="6"/>
      <c r="G336" s="6"/>
      <c r="H336" s="6"/>
      <c r="I336" s="5"/>
    </row>
    <row r="337" spans="4:9" ht="12.75" x14ac:dyDescent="0.2">
      <c r="D337" s="12"/>
      <c r="E337" s="12"/>
      <c r="F337" s="6"/>
      <c r="G337" s="6"/>
      <c r="H337" s="6"/>
      <c r="I337" s="5"/>
    </row>
    <row r="338" spans="4:9" ht="12.75" x14ac:dyDescent="0.2">
      <c r="D338" s="12"/>
      <c r="E338" s="12"/>
      <c r="F338" s="6"/>
      <c r="G338" s="6"/>
      <c r="H338" s="6"/>
      <c r="I338" s="5"/>
    </row>
    <row r="339" spans="4:9" ht="12.75" x14ac:dyDescent="0.2">
      <c r="D339" s="12"/>
      <c r="E339" s="12"/>
      <c r="F339" s="6"/>
      <c r="G339" s="6"/>
      <c r="H339" s="6"/>
      <c r="I339" s="5"/>
    </row>
    <row r="340" spans="4:9" ht="12.75" x14ac:dyDescent="0.2">
      <c r="D340" s="12"/>
      <c r="E340" s="12"/>
      <c r="F340" s="6"/>
      <c r="G340" s="6"/>
      <c r="H340" s="6"/>
      <c r="I340" s="5"/>
    </row>
    <row r="341" spans="4:9" ht="12.75" x14ac:dyDescent="0.2">
      <c r="D341" s="12"/>
      <c r="E341" s="12"/>
      <c r="F341" s="6"/>
      <c r="G341" s="6"/>
      <c r="H341" s="6"/>
      <c r="I341" s="5"/>
    </row>
    <row r="342" spans="4:9" ht="12.75" x14ac:dyDescent="0.2">
      <c r="D342" s="12"/>
      <c r="E342" s="12"/>
      <c r="F342" s="6"/>
      <c r="G342" s="6"/>
      <c r="H342" s="6"/>
      <c r="I342" s="5"/>
    </row>
    <row r="343" spans="4:9" ht="12.75" x14ac:dyDescent="0.2">
      <c r="D343" s="12"/>
      <c r="E343" s="12"/>
      <c r="F343" s="6"/>
      <c r="G343" s="6"/>
      <c r="H343" s="6"/>
      <c r="I343" s="5"/>
    </row>
    <row r="344" spans="4:9" ht="12.75" x14ac:dyDescent="0.2">
      <c r="D344" s="12"/>
      <c r="E344" s="12"/>
      <c r="F344" s="6"/>
      <c r="G344" s="6"/>
      <c r="H344" s="6"/>
      <c r="I344" s="5"/>
    </row>
    <row r="345" spans="4:9" ht="12.75" x14ac:dyDescent="0.2">
      <c r="D345" s="12"/>
      <c r="E345" s="12"/>
      <c r="F345" s="6"/>
      <c r="G345" s="6"/>
      <c r="H345" s="6"/>
      <c r="I345" s="5"/>
    </row>
    <row r="346" spans="4:9" ht="12.75" x14ac:dyDescent="0.2">
      <c r="D346" s="12"/>
      <c r="E346" s="12"/>
      <c r="F346" s="6"/>
      <c r="G346" s="6"/>
      <c r="H346" s="6"/>
      <c r="I346" s="5"/>
    </row>
    <row r="347" spans="4:9" ht="12.75" x14ac:dyDescent="0.2">
      <c r="D347" s="12"/>
      <c r="E347" s="12"/>
      <c r="F347" s="6"/>
      <c r="G347" s="6"/>
      <c r="H347" s="6"/>
      <c r="I347" s="5"/>
    </row>
    <row r="348" spans="4:9" ht="12.75" x14ac:dyDescent="0.2">
      <c r="D348" s="12"/>
      <c r="E348" s="12"/>
      <c r="F348" s="6"/>
      <c r="G348" s="6"/>
      <c r="H348" s="6"/>
      <c r="I348" s="5"/>
    </row>
    <row r="349" spans="4:9" ht="12.75" x14ac:dyDescent="0.2">
      <c r="D349" s="12"/>
      <c r="E349" s="12"/>
      <c r="F349" s="6"/>
      <c r="G349" s="6"/>
      <c r="H349" s="6"/>
      <c r="I349" s="5"/>
    </row>
    <row r="350" spans="4:9" ht="12.75" x14ac:dyDescent="0.2">
      <c r="D350" s="12"/>
      <c r="E350" s="12"/>
      <c r="F350" s="6"/>
      <c r="G350" s="6"/>
      <c r="H350" s="6"/>
      <c r="I350" s="5"/>
    </row>
    <row r="351" spans="4:9" ht="12.75" x14ac:dyDescent="0.2">
      <c r="D351" s="12"/>
      <c r="E351" s="12"/>
      <c r="F351" s="6"/>
      <c r="G351" s="6"/>
      <c r="H351" s="6"/>
      <c r="I351" s="5"/>
    </row>
    <row r="352" spans="4:9" ht="12.75" x14ac:dyDescent="0.2">
      <c r="D352" s="12"/>
      <c r="E352" s="12"/>
      <c r="F352" s="6"/>
      <c r="G352" s="6"/>
      <c r="H352" s="6"/>
      <c r="I352" s="5"/>
    </row>
    <row r="353" spans="4:9" ht="12.75" x14ac:dyDescent="0.2">
      <c r="D353" s="12"/>
      <c r="E353" s="12"/>
      <c r="F353" s="6"/>
      <c r="G353" s="6"/>
      <c r="H353" s="6"/>
      <c r="I353" s="5"/>
    </row>
    <row r="354" spans="4:9" ht="12.75" x14ac:dyDescent="0.2">
      <c r="D354" s="12"/>
      <c r="E354" s="12"/>
      <c r="F354" s="6"/>
      <c r="G354" s="6"/>
      <c r="H354" s="6"/>
      <c r="I354" s="5"/>
    </row>
    <row r="355" spans="4:9" ht="12.75" x14ac:dyDescent="0.2">
      <c r="D355" s="12"/>
      <c r="E355" s="12"/>
      <c r="F355" s="6"/>
      <c r="G355" s="6"/>
      <c r="H355" s="6"/>
      <c r="I355" s="5"/>
    </row>
    <row r="356" spans="4:9" ht="12.75" x14ac:dyDescent="0.2">
      <c r="D356" s="12"/>
      <c r="E356" s="12"/>
      <c r="F356" s="6"/>
      <c r="G356" s="6"/>
      <c r="H356" s="6"/>
      <c r="I356" s="5"/>
    </row>
    <row r="357" spans="4:9" ht="12.75" x14ac:dyDescent="0.2">
      <c r="D357" s="12"/>
      <c r="E357" s="12"/>
      <c r="F357" s="6"/>
      <c r="G357" s="6"/>
      <c r="H357" s="6"/>
      <c r="I357" s="5"/>
    </row>
    <row r="358" spans="4:9" ht="12.75" x14ac:dyDescent="0.2">
      <c r="D358" s="12"/>
      <c r="E358" s="12"/>
      <c r="F358" s="6"/>
      <c r="G358" s="6"/>
      <c r="H358" s="6"/>
      <c r="I358" s="5"/>
    </row>
    <row r="359" spans="4:9" ht="12.75" x14ac:dyDescent="0.2">
      <c r="D359" s="12"/>
      <c r="E359" s="12"/>
      <c r="F359" s="6"/>
      <c r="G359" s="6"/>
      <c r="H359" s="6"/>
      <c r="I359" s="5"/>
    </row>
    <row r="360" spans="4:9" ht="12.75" x14ac:dyDescent="0.2">
      <c r="D360" s="12"/>
      <c r="E360" s="12"/>
      <c r="F360" s="6"/>
      <c r="G360" s="6"/>
      <c r="H360" s="6"/>
      <c r="I360" s="5"/>
    </row>
    <row r="361" spans="4:9" ht="12.75" x14ac:dyDescent="0.2">
      <c r="D361" s="12"/>
      <c r="E361" s="12"/>
      <c r="F361" s="6"/>
      <c r="G361" s="6"/>
      <c r="H361" s="6"/>
      <c r="I361" s="5"/>
    </row>
    <row r="362" spans="4:9" ht="12.75" x14ac:dyDescent="0.2">
      <c r="D362" s="12"/>
      <c r="E362" s="12"/>
      <c r="F362" s="6"/>
      <c r="G362" s="6"/>
      <c r="H362" s="6"/>
      <c r="I362" s="5"/>
    </row>
    <row r="363" spans="4:9" ht="12.75" x14ac:dyDescent="0.2">
      <c r="D363" s="12"/>
      <c r="E363" s="12"/>
      <c r="F363" s="6"/>
      <c r="G363" s="6"/>
      <c r="H363" s="6"/>
      <c r="I363" s="5"/>
    </row>
    <row r="364" spans="4:9" ht="12.75" x14ac:dyDescent="0.2">
      <c r="D364" s="12"/>
      <c r="E364" s="12"/>
      <c r="F364" s="6"/>
      <c r="G364" s="6"/>
      <c r="H364" s="6"/>
      <c r="I364" s="5"/>
    </row>
    <row r="365" spans="4:9" ht="12.75" x14ac:dyDescent="0.2">
      <c r="D365" s="12"/>
      <c r="E365" s="12"/>
      <c r="F365" s="6"/>
      <c r="G365" s="6"/>
      <c r="H365" s="6"/>
      <c r="I365" s="5"/>
    </row>
    <row r="366" spans="4:9" ht="12.75" x14ac:dyDescent="0.2">
      <c r="D366" s="12"/>
      <c r="E366" s="12"/>
      <c r="F366" s="6"/>
      <c r="G366" s="6"/>
      <c r="H366" s="6"/>
      <c r="I366" s="5"/>
    </row>
    <row r="367" spans="4:9" ht="12.75" x14ac:dyDescent="0.2">
      <c r="D367" s="12"/>
      <c r="E367" s="12"/>
      <c r="F367" s="6"/>
      <c r="G367" s="6"/>
      <c r="H367" s="6"/>
      <c r="I367" s="5"/>
    </row>
    <row r="368" spans="4:9" ht="12.75" x14ac:dyDescent="0.2">
      <c r="D368" s="12"/>
      <c r="E368" s="12"/>
      <c r="F368" s="6"/>
      <c r="G368" s="6"/>
      <c r="H368" s="6"/>
      <c r="I368" s="5"/>
    </row>
    <row r="369" spans="4:9" ht="12.75" x14ac:dyDescent="0.2">
      <c r="D369" s="12"/>
      <c r="E369" s="12"/>
      <c r="F369" s="6"/>
      <c r="G369" s="6"/>
      <c r="H369" s="6"/>
      <c r="I369" s="5"/>
    </row>
    <row r="370" spans="4:9" ht="12.75" x14ac:dyDescent="0.2">
      <c r="D370" s="12"/>
      <c r="E370" s="12"/>
      <c r="F370" s="6"/>
      <c r="G370" s="6"/>
      <c r="H370" s="6"/>
      <c r="I370" s="5"/>
    </row>
    <row r="371" spans="4:9" ht="12.75" x14ac:dyDescent="0.2">
      <c r="D371" s="12"/>
      <c r="E371" s="12"/>
      <c r="F371" s="6"/>
      <c r="G371" s="6"/>
      <c r="H371" s="6"/>
      <c r="I371" s="5"/>
    </row>
    <row r="372" spans="4:9" ht="12.75" x14ac:dyDescent="0.2">
      <c r="D372" s="12"/>
      <c r="E372" s="12"/>
      <c r="F372" s="6"/>
      <c r="G372" s="6"/>
      <c r="H372" s="6"/>
      <c r="I372" s="5"/>
    </row>
    <row r="373" spans="4:9" ht="12.75" x14ac:dyDescent="0.2">
      <c r="D373" s="12"/>
      <c r="E373" s="12"/>
      <c r="F373" s="6"/>
      <c r="G373" s="6"/>
      <c r="H373" s="6"/>
      <c r="I373" s="5"/>
    </row>
    <row r="374" spans="4:9" ht="12.75" x14ac:dyDescent="0.2">
      <c r="D374" s="12"/>
      <c r="E374" s="12"/>
      <c r="F374" s="6"/>
      <c r="G374" s="6"/>
      <c r="H374" s="6"/>
      <c r="I374" s="5"/>
    </row>
    <row r="375" spans="4:9" ht="12.75" x14ac:dyDescent="0.2">
      <c r="D375" s="12"/>
      <c r="E375" s="12"/>
      <c r="F375" s="6"/>
      <c r="G375" s="6"/>
      <c r="H375" s="6"/>
      <c r="I375" s="5"/>
    </row>
    <row r="376" spans="4:9" ht="12.75" x14ac:dyDescent="0.2">
      <c r="D376" s="12"/>
      <c r="E376" s="12"/>
      <c r="F376" s="6"/>
      <c r="G376" s="6"/>
      <c r="H376" s="6"/>
      <c r="I376" s="5"/>
    </row>
    <row r="377" spans="4:9" ht="12.75" x14ac:dyDescent="0.2">
      <c r="D377" s="12"/>
      <c r="E377" s="12"/>
      <c r="F377" s="6"/>
      <c r="G377" s="6"/>
      <c r="H377" s="6"/>
      <c r="I377" s="5"/>
    </row>
    <row r="378" spans="4:9" ht="12.75" x14ac:dyDescent="0.2">
      <c r="D378" s="12"/>
      <c r="E378" s="12"/>
      <c r="F378" s="6"/>
      <c r="G378" s="6"/>
      <c r="H378" s="6"/>
      <c r="I378" s="5"/>
    </row>
    <row r="379" spans="4:9" ht="12.75" x14ac:dyDescent="0.2">
      <c r="D379" s="12"/>
      <c r="E379" s="12"/>
      <c r="F379" s="6"/>
      <c r="G379" s="6"/>
      <c r="H379" s="6"/>
      <c r="I379" s="5"/>
    </row>
    <row r="380" spans="4:9" ht="12.75" x14ac:dyDescent="0.2">
      <c r="D380" s="12"/>
      <c r="E380" s="12"/>
      <c r="F380" s="6"/>
      <c r="G380" s="6"/>
      <c r="H380" s="6"/>
      <c r="I380" s="5"/>
    </row>
    <row r="381" spans="4:9" ht="12.75" x14ac:dyDescent="0.2">
      <c r="D381" s="12"/>
      <c r="E381" s="12"/>
      <c r="F381" s="6"/>
      <c r="G381" s="6"/>
      <c r="H381" s="6"/>
      <c r="I381" s="5"/>
    </row>
    <row r="382" spans="4:9" ht="12.75" x14ac:dyDescent="0.2">
      <c r="D382" s="12"/>
      <c r="E382" s="12"/>
      <c r="F382" s="6"/>
      <c r="G382" s="6"/>
      <c r="H382" s="6"/>
      <c r="I382" s="5"/>
    </row>
    <row r="383" spans="4:9" ht="12.75" x14ac:dyDescent="0.2">
      <c r="D383" s="12"/>
      <c r="E383" s="12"/>
      <c r="F383" s="6"/>
      <c r="G383" s="6"/>
      <c r="H383" s="6"/>
      <c r="I383" s="5"/>
    </row>
    <row r="384" spans="4:9" ht="12.75" x14ac:dyDescent="0.2">
      <c r="D384" s="12"/>
      <c r="E384" s="12"/>
      <c r="F384" s="6"/>
      <c r="G384" s="6"/>
      <c r="H384" s="6"/>
      <c r="I384" s="5"/>
    </row>
    <row r="385" spans="4:9" ht="12.75" x14ac:dyDescent="0.2">
      <c r="D385" s="12"/>
      <c r="E385" s="12"/>
      <c r="F385" s="6"/>
      <c r="G385" s="6"/>
      <c r="H385" s="6"/>
      <c r="I385" s="5"/>
    </row>
    <row r="386" spans="4:9" ht="12.75" x14ac:dyDescent="0.2">
      <c r="D386" s="12"/>
      <c r="E386" s="12"/>
      <c r="F386" s="6"/>
      <c r="G386" s="6"/>
      <c r="H386" s="6"/>
      <c r="I386" s="5"/>
    </row>
    <row r="387" spans="4:9" ht="12.75" x14ac:dyDescent="0.2">
      <c r="D387" s="12"/>
      <c r="E387" s="12"/>
      <c r="F387" s="6"/>
      <c r="G387" s="6"/>
      <c r="H387" s="6"/>
      <c r="I387" s="5"/>
    </row>
    <row r="388" spans="4:9" ht="12.75" x14ac:dyDescent="0.2">
      <c r="D388" s="12"/>
      <c r="E388" s="12"/>
      <c r="F388" s="6"/>
      <c r="G388" s="6"/>
      <c r="H388" s="6"/>
      <c r="I388" s="5"/>
    </row>
    <row r="389" spans="4:9" ht="12.75" x14ac:dyDescent="0.2">
      <c r="D389" s="12"/>
      <c r="E389" s="12"/>
      <c r="F389" s="6"/>
      <c r="G389" s="6"/>
      <c r="H389" s="6"/>
      <c r="I389" s="5"/>
    </row>
    <row r="390" spans="4:9" ht="12.75" x14ac:dyDescent="0.2">
      <c r="D390" s="12"/>
      <c r="E390" s="12"/>
      <c r="F390" s="6"/>
      <c r="G390" s="6"/>
      <c r="H390" s="6"/>
      <c r="I390" s="5"/>
    </row>
    <row r="391" spans="4:9" ht="12.75" x14ac:dyDescent="0.2">
      <c r="D391" s="12"/>
      <c r="E391" s="12"/>
      <c r="F391" s="6"/>
      <c r="G391" s="6"/>
      <c r="H391" s="6"/>
      <c r="I391" s="5"/>
    </row>
    <row r="392" spans="4:9" ht="12.75" x14ac:dyDescent="0.2">
      <c r="D392" s="12"/>
      <c r="E392" s="12"/>
      <c r="F392" s="6"/>
      <c r="G392" s="6"/>
      <c r="H392" s="6"/>
      <c r="I392" s="5"/>
    </row>
    <row r="393" spans="4:9" ht="12.75" x14ac:dyDescent="0.2">
      <c r="D393" s="12"/>
      <c r="E393" s="12"/>
      <c r="F393" s="6"/>
      <c r="G393" s="6"/>
      <c r="H393" s="6"/>
      <c r="I393" s="5"/>
    </row>
    <row r="394" spans="4:9" ht="12.75" x14ac:dyDescent="0.2">
      <c r="D394" s="12"/>
      <c r="E394" s="12"/>
      <c r="F394" s="6"/>
      <c r="G394" s="6"/>
      <c r="H394" s="6"/>
      <c r="I394" s="5"/>
    </row>
    <row r="395" spans="4:9" ht="12.75" x14ac:dyDescent="0.2">
      <c r="D395" s="12"/>
      <c r="E395" s="12"/>
      <c r="F395" s="6"/>
      <c r="G395" s="6"/>
      <c r="H395" s="6"/>
      <c r="I395" s="5"/>
    </row>
    <row r="396" spans="4:9" ht="12.75" x14ac:dyDescent="0.2">
      <c r="D396" s="12"/>
      <c r="E396" s="12"/>
      <c r="F396" s="6"/>
      <c r="G396" s="6"/>
      <c r="H396" s="6"/>
      <c r="I396" s="5"/>
    </row>
    <row r="397" spans="4:9" ht="12.75" x14ac:dyDescent="0.2">
      <c r="D397" s="12"/>
      <c r="E397" s="12"/>
      <c r="F397" s="6"/>
      <c r="G397" s="6"/>
      <c r="H397" s="6"/>
      <c r="I397" s="5"/>
    </row>
    <row r="398" spans="4:9" ht="12.75" x14ac:dyDescent="0.2">
      <c r="D398" s="12"/>
      <c r="E398" s="12"/>
      <c r="F398" s="6"/>
      <c r="G398" s="6"/>
      <c r="H398" s="6"/>
      <c r="I398" s="5"/>
    </row>
    <row r="399" spans="4:9" ht="12.75" x14ac:dyDescent="0.2">
      <c r="D399" s="12"/>
      <c r="E399" s="12"/>
      <c r="F399" s="6"/>
      <c r="G399" s="6"/>
      <c r="H399" s="6"/>
      <c r="I399" s="5"/>
    </row>
    <row r="400" spans="4:9" ht="12.75" x14ac:dyDescent="0.2">
      <c r="D400" s="12"/>
      <c r="E400" s="12"/>
      <c r="F400" s="6"/>
      <c r="G400" s="6"/>
      <c r="H400" s="6"/>
      <c r="I400" s="5"/>
    </row>
    <row r="401" spans="4:9" ht="12.75" x14ac:dyDescent="0.2">
      <c r="D401" s="12"/>
      <c r="E401" s="12"/>
      <c r="F401" s="6"/>
      <c r="G401" s="6"/>
      <c r="H401" s="6"/>
      <c r="I401" s="5"/>
    </row>
    <row r="402" spans="4:9" ht="12.75" x14ac:dyDescent="0.2">
      <c r="D402" s="12"/>
      <c r="E402" s="12"/>
      <c r="F402" s="6"/>
      <c r="G402" s="6"/>
      <c r="H402" s="6"/>
      <c r="I402" s="5"/>
    </row>
    <row r="403" spans="4:9" ht="12.75" x14ac:dyDescent="0.2">
      <c r="D403" s="12"/>
      <c r="E403" s="12"/>
      <c r="F403" s="6"/>
      <c r="G403" s="6"/>
      <c r="H403" s="6"/>
      <c r="I403" s="5"/>
    </row>
    <row r="404" spans="4:9" ht="12.75" x14ac:dyDescent="0.2">
      <c r="D404" s="12"/>
      <c r="E404" s="12"/>
      <c r="F404" s="6"/>
      <c r="G404" s="6"/>
      <c r="H404" s="6"/>
      <c r="I404" s="5"/>
    </row>
    <row r="405" spans="4:9" ht="12.75" x14ac:dyDescent="0.2">
      <c r="D405" s="12"/>
      <c r="E405" s="12"/>
      <c r="F405" s="6"/>
      <c r="G405" s="6"/>
      <c r="H405" s="6"/>
      <c r="I405" s="5"/>
    </row>
    <row r="406" spans="4:9" ht="12.75" x14ac:dyDescent="0.2">
      <c r="D406" s="12"/>
      <c r="E406" s="12"/>
      <c r="F406" s="6"/>
      <c r="G406" s="6"/>
      <c r="H406" s="6"/>
      <c r="I406" s="5"/>
    </row>
    <row r="407" spans="4:9" ht="12.75" x14ac:dyDescent="0.2">
      <c r="D407" s="12"/>
      <c r="E407" s="12"/>
      <c r="F407" s="6"/>
      <c r="G407" s="6"/>
      <c r="H407" s="6"/>
      <c r="I407" s="5"/>
    </row>
    <row r="408" spans="4:9" ht="12.75" x14ac:dyDescent="0.2">
      <c r="D408" s="12"/>
      <c r="E408" s="12"/>
      <c r="F408" s="6"/>
      <c r="G408" s="6"/>
      <c r="H408" s="6"/>
      <c r="I408" s="5"/>
    </row>
    <row r="409" spans="4:9" ht="12.75" x14ac:dyDescent="0.2">
      <c r="D409" s="12"/>
      <c r="E409" s="12"/>
      <c r="F409" s="6"/>
      <c r="G409" s="6"/>
      <c r="H409" s="6"/>
      <c r="I409" s="5"/>
    </row>
    <row r="410" spans="4:9" ht="12.75" x14ac:dyDescent="0.2">
      <c r="D410" s="12"/>
      <c r="E410" s="12"/>
      <c r="F410" s="6"/>
      <c r="G410" s="6"/>
      <c r="H410" s="6"/>
      <c r="I410" s="5"/>
    </row>
    <row r="411" spans="4:9" ht="12.75" x14ac:dyDescent="0.2">
      <c r="D411" s="12"/>
      <c r="E411" s="12"/>
      <c r="F411" s="6"/>
      <c r="G411" s="6"/>
      <c r="H411" s="6"/>
      <c r="I411" s="5"/>
    </row>
    <row r="412" spans="4:9" ht="12.75" x14ac:dyDescent="0.2">
      <c r="D412" s="12"/>
      <c r="E412" s="12"/>
      <c r="F412" s="6"/>
      <c r="G412" s="6"/>
      <c r="H412" s="6"/>
      <c r="I412" s="5"/>
    </row>
    <row r="413" spans="4:9" ht="12.75" x14ac:dyDescent="0.2">
      <c r="D413" s="12"/>
      <c r="E413" s="12"/>
      <c r="F413" s="6"/>
      <c r="G413" s="6"/>
      <c r="H413" s="6"/>
      <c r="I413" s="5"/>
    </row>
    <row r="414" spans="4:9" ht="12.75" x14ac:dyDescent="0.2">
      <c r="D414" s="12"/>
      <c r="E414" s="12"/>
      <c r="F414" s="6"/>
      <c r="G414" s="6"/>
      <c r="H414" s="6"/>
      <c r="I414" s="5"/>
    </row>
    <row r="415" spans="4:9" ht="12.75" x14ac:dyDescent="0.2">
      <c r="D415" s="12"/>
      <c r="E415" s="12"/>
      <c r="F415" s="6"/>
      <c r="G415" s="6"/>
      <c r="H415" s="6"/>
      <c r="I415" s="5"/>
    </row>
    <row r="416" spans="4:9" ht="12.75" x14ac:dyDescent="0.2">
      <c r="D416" s="12"/>
      <c r="E416" s="12"/>
      <c r="F416" s="6"/>
      <c r="G416" s="6"/>
      <c r="H416" s="6"/>
      <c r="I416" s="5"/>
    </row>
    <row r="417" spans="4:9" ht="12.75" x14ac:dyDescent="0.2">
      <c r="D417" s="12"/>
      <c r="E417" s="12"/>
      <c r="F417" s="6"/>
      <c r="G417" s="6"/>
      <c r="H417" s="6"/>
      <c r="I417" s="5"/>
    </row>
    <row r="418" spans="4:9" ht="12.75" x14ac:dyDescent="0.2">
      <c r="D418" s="12"/>
      <c r="E418" s="12"/>
      <c r="F418" s="6"/>
      <c r="G418" s="6"/>
      <c r="H418" s="6"/>
      <c r="I418" s="5"/>
    </row>
    <row r="419" spans="4:9" ht="12.75" x14ac:dyDescent="0.2">
      <c r="D419" s="12"/>
      <c r="E419" s="12"/>
      <c r="F419" s="6"/>
      <c r="G419" s="6"/>
      <c r="H419" s="6"/>
      <c r="I419" s="5"/>
    </row>
    <row r="420" spans="4:9" ht="12.75" x14ac:dyDescent="0.2">
      <c r="D420" s="12"/>
      <c r="E420" s="12"/>
      <c r="F420" s="6"/>
      <c r="G420" s="6"/>
      <c r="H420" s="6"/>
      <c r="I420" s="5"/>
    </row>
    <row r="421" spans="4:9" ht="12.75" x14ac:dyDescent="0.2">
      <c r="D421" s="12"/>
      <c r="E421" s="12"/>
      <c r="F421" s="6"/>
      <c r="G421" s="6"/>
      <c r="H421" s="6"/>
      <c r="I421" s="5"/>
    </row>
    <row r="422" spans="4:9" ht="12.75" x14ac:dyDescent="0.2">
      <c r="D422" s="12"/>
      <c r="E422" s="12"/>
      <c r="F422" s="6"/>
      <c r="G422" s="6"/>
      <c r="H422" s="6"/>
      <c r="I422" s="5"/>
    </row>
    <row r="423" spans="4:9" ht="12.75" x14ac:dyDescent="0.2">
      <c r="D423" s="12"/>
      <c r="E423" s="12"/>
      <c r="F423" s="6"/>
      <c r="G423" s="6"/>
      <c r="H423" s="6"/>
      <c r="I423" s="5"/>
    </row>
    <row r="424" spans="4:9" ht="12.75" x14ac:dyDescent="0.2">
      <c r="D424" s="12"/>
      <c r="E424" s="12"/>
      <c r="F424" s="6"/>
      <c r="G424" s="6"/>
      <c r="H424" s="6"/>
      <c r="I424" s="5"/>
    </row>
    <row r="425" spans="4:9" ht="12.75" x14ac:dyDescent="0.2">
      <c r="D425" s="12"/>
      <c r="E425" s="12"/>
      <c r="F425" s="6"/>
      <c r="G425" s="6"/>
      <c r="H425" s="6"/>
      <c r="I425" s="5"/>
    </row>
    <row r="426" spans="4:9" ht="12.75" x14ac:dyDescent="0.2">
      <c r="D426" s="12"/>
      <c r="E426" s="12"/>
      <c r="F426" s="6"/>
      <c r="G426" s="6"/>
      <c r="H426" s="6"/>
      <c r="I426" s="5"/>
    </row>
    <row r="427" spans="4:9" ht="12.75" x14ac:dyDescent="0.2">
      <c r="D427" s="12"/>
      <c r="E427" s="12"/>
      <c r="F427" s="6"/>
      <c r="G427" s="6"/>
      <c r="H427" s="6"/>
      <c r="I427" s="5"/>
    </row>
    <row r="428" spans="4:9" ht="12.75" x14ac:dyDescent="0.2">
      <c r="D428" s="12"/>
      <c r="E428" s="12"/>
      <c r="F428" s="6"/>
      <c r="G428" s="6"/>
      <c r="H428" s="6"/>
      <c r="I428" s="5"/>
    </row>
    <row r="429" spans="4:9" ht="12.75" x14ac:dyDescent="0.2">
      <c r="D429" s="12"/>
      <c r="E429" s="12"/>
      <c r="F429" s="6"/>
      <c r="G429" s="6"/>
      <c r="H429" s="6"/>
      <c r="I429" s="5"/>
    </row>
    <row r="430" spans="4:9" ht="12.75" x14ac:dyDescent="0.2">
      <c r="D430" s="12"/>
      <c r="E430" s="12"/>
      <c r="F430" s="6"/>
      <c r="G430" s="6"/>
      <c r="H430" s="6"/>
      <c r="I430" s="5"/>
    </row>
    <row r="431" spans="4:9" ht="12.75" x14ac:dyDescent="0.2">
      <c r="D431" s="12"/>
      <c r="E431" s="12"/>
      <c r="F431" s="6"/>
      <c r="G431" s="6"/>
      <c r="H431" s="6"/>
      <c r="I431" s="5"/>
    </row>
    <row r="432" spans="4:9" ht="12.75" x14ac:dyDescent="0.2">
      <c r="D432" s="12"/>
      <c r="E432" s="12"/>
      <c r="F432" s="6"/>
      <c r="G432" s="6"/>
      <c r="H432" s="6"/>
      <c r="I432" s="5"/>
    </row>
    <row r="433" spans="4:9" ht="12.75" x14ac:dyDescent="0.2">
      <c r="D433" s="12"/>
      <c r="E433" s="12"/>
      <c r="F433" s="6"/>
      <c r="G433" s="6"/>
      <c r="H433" s="6"/>
      <c r="I433" s="5"/>
    </row>
    <row r="434" spans="4:9" ht="12.75" x14ac:dyDescent="0.2">
      <c r="D434" s="12"/>
      <c r="E434" s="12"/>
      <c r="F434" s="6"/>
      <c r="G434" s="6"/>
      <c r="H434" s="6"/>
      <c r="I434" s="5"/>
    </row>
    <row r="435" spans="4:9" ht="12.75" x14ac:dyDescent="0.2">
      <c r="D435" s="12"/>
      <c r="E435" s="12"/>
      <c r="F435" s="6"/>
      <c r="G435" s="6"/>
      <c r="H435" s="6"/>
      <c r="I435" s="5"/>
    </row>
    <row r="436" spans="4:9" ht="12.75" x14ac:dyDescent="0.2">
      <c r="D436" s="12"/>
      <c r="E436" s="12"/>
      <c r="F436" s="6"/>
      <c r="G436" s="6"/>
      <c r="H436" s="6"/>
      <c r="I436" s="5"/>
    </row>
    <row r="437" spans="4:9" ht="12.75" x14ac:dyDescent="0.2">
      <c r="D437" s="12"/>
      <c r="E437" s="12"/>
      <c r="F437" s="6"/>
      <c r="G437" s="6"/>
      <c r="H437" s="6"/>
      <c r="I437" s="5"/>
    </row>
    <row r="438" spans="4:9" ht="12.75" x14ac:dyDescent="0.2">
      <c r="D438" s="12"/>
      <c r="E438" s="12"/>
      <c r="F438" s="6"/>
      <c r="G438" s="6"/>
      <c r="H438" s="6"/>
      <c r="I438" s="5"/>
    </row>
    <row r="439" spans="4:9" ht="12.75" x14ac:dyDescent="0.2">
      <c r="D439" s="12"/>
      <c r="E439" s="12"/>
      <c r="F439" s="6"/>
      <c r="G439" s="6"/>
      <c r="H439" s="6"/>
      <c r="I439" s="5"/>
    </row>
    <row r="440" spans="4:9" ht="12.75" x14ac:dyDescent="0.2">
      <c r="D440" s="12"/>
      <c r="E440" s="12"/>
      <c r="F440" s="6"/>
      <c r="G440" s="6"/>
      <c r="H440" s="6"/>
      <c r="I440" s="5"/>
    </row>
    <row r="441" spans="4:9" ht="12.75" x14ac:dyDescent="0.2">
      <c r="D441" s="12"/>
      <c r="E441" s="12"/>
      <c r="F441" s="6"/>
      <c r="G441" s="6"/>
      <c r="H441" s="6"/>
      <c r="I441" s="5"/>
    </row>
    <row r="442" spans="4:9" ht="12.75" x14ac:dyDescent="0.2">
      <c r="D442" s="12"/>
      <c r="E442" s="12"/>
      <c r="F442" s="6"/>
      <c r="G442" s="6"/>
      <c r="H442" s="6"/>
      <c r="I442" s="5"/>
    </row>
    <row r="443" spans="4:9" ht="12.75" x14ac:dyDescent="0.2">
      <c r="D443" s="12"/>
      <c r="E443" s="12"/>
      <c r="F443" s="6"/>
      <c r="G443" s="6"/>
      <c r="H443" s="6"/>
      <c r="I443" s="5"/>
    </row>
    <row r="444" spans="4:9" ht="12.75" x14ac:dyDescent="0.2">
      <c r="D444" s="12"/>
      <c r="E444" s="12"/>
      <c r="F444" s="6"/>
      <c r="G444" s="6"/>
      <c r="H444" s="6"/>
      <c r="I444" s="5"/>
    </row>
    <row r="445" spans="4:9" ht="12.75" x14ac:dyDescent="0.2">
      <c r="D445" s="12"/>
      <c r="E445" s="12"/>
      <c r="F445" s="6"/>
      <c r="G445" s="6"/>
      <c r="H445" s="6"/>
      <c r="I445" s="5"/>
    </row>
    <row r="446" spans="4:9" ht="12.75" x14ac:dyDescent="0.2">
      <c r="D446" s="12"/>
      <c r="E446" s="12"/>
      <c r="F446" s="6"/>
      <c r="G446" s="6"/>
      <c r="H446" s="6"/>
      <c r="I446" s="5"/>
    </row>
    <row r="447" spans="4:9" ht="12.75" x14ac:dyDescent="0.2">
      <c r="D447" s="12"/>
      <c r="E447" s="12"/>
      <c r="F447" s="6"/>
      <c r="G447" s="6"/>
      <c r="H447" s="6"/>
      <c r="I447" s="5"/>
    </row>
    <row r="448" spans="4:9" ht="12.75" x14ac:dyDescent="0.2">
      <c r="D448" s="12"/>
      <c r="E448" s="12"/>
      <c r="F448" s="6"/>
      <c r="G448" s="6"/>
      <c r="H448" s="6"/>
      <c r="I448" s="5"/>
    </row>
    <row r="449" spans="4:9" ht="12.75" x14ac:dyDescent="0.2">
      <c r="D449" s="12"/>
      <c r="E449" s="12"/>
      <c r="F449" s="6"/>
      <c r="G449" s="6"/>
      <c r="H449" s="6"/>
      <c r="I449" s="5"/>
    </row>
    <row r="450" spans="4:9" ht="12.75" x14ac:dyDescent="0.2">
      <c r="D450" s="12"/>
      <c r="E450" s="12"/>
      <c r="F450" s="6"/>
      <c r="G450" s="6"/>
      <c r="H450" s="6"/>
      <c r="I450" s="5"/>
    </row>
    <row r="451" spans="4:9" ht="12.75" x14ac:dyDescent="0.2">
      <c r="D451" s="12"/>
      <c r="E451" s="12"/>
      <c r="F451" s="6"/>
      <c r="G451" s="6"/>
      <c r="H451" s="6"/>
      <c r="I451" s="5"/>
    </row>
    <row r="452" spans="4:9" ht="12.75" x14ac:dyDescent="0.2">
      <c r="D452" s="12"/>
      <c r="E452" s="12"/>
      <c r="F452" s="6"/>
      <c r="G452" s="6"/>
      <c r="H452" s="6"/>
      <c r="I452" s="5"/>
    </row>
    <row r="453" spans="4:9" ht="12.75" x14ac:dyDescent="0.2">
      <c r="D453" s="12"/>
      <c r="E453" s="12"/>
      <c r="F453" s="6"/>
      <c r="G453" s="6"/>
      <c r="H453" s="6"/>
      <c r="I453" s="5"/>
    </row>
    <row r="454" spans="4:9" ht="12.75" x14ac:dyDescent="0.2">
      <c r="D454" s="12"/>
      <c r="E454" s="12"/>
      <c r="F454" s="6"/>
      <c r="G454" s="6"/>
      <c r="H454" s="6"/>
      <c r="I454" s="5"/>
    </row>
    <row r="455" spans="4:9" ht="12.75" x14ac:dyDescent="0.2">
      <c r="D455" s="12"/>
      <c r="E455" s="12"/>
      <c r="F455" s="6"/>
      <c r="G455" s="6"/>
      <c r="H455" s="6"/>
      <c r="I455" s="5"/>
    </row>
    <row r="456" spans="4:9" ht="12.75" x14ac:dyDescent="0.2">
      <c r="D456" s="12"/>
      <c r="E456" s="12"/>
      <c r="F456" s="6"/>
      <c r="G456" s="6"/>
      <c r="H456" s="6"/>
      <c r="I456" s="5"/>
    </row>
    <row r="457" spans="4:9" ht="12.75" x14ac:dyDescent="0.2">
      <c r="D457" s="12"/>
      <c r="E457" s="12"/>
      <c r="F457" s="6"/>
      <c r="G457" s="6"/>
      <c r="H457" s="6"/>
      <c r="I457" s="5"/>
    </row>
    <row r="458" spans="4:9" ht="12.75" x14ac:dyDescent="0.2">
      <c r="D458" s="12"/>
      <c r="E458" s="12"/>
      <c r="F458" s="6"/>
      <c r="G458" s="6"/>
      <c r="H458" s="6"/>
      <c r="I458" s="5"/>
    </row>
    <row r="459" spans="4:9" ht="12.75" x14ac:dyDescent="0.2">
      <c r="D459" s="12"/>
      <c r="E459" s="12"/>
      <c r="F459" s="6"/>
      <c r="G459" s="6"/>
      <c r="H459" s="6"/>
      <c r="I459" s="5"/>
    </row>
    <row r="460" spans="4:9" ht="12.75" x14ac:dyDescent="0.2">
      <c r="D460" s="12"/>
      <c r="E460" s="12"/>
      <c r="F460" s="6"/>
      <c r="G460" s="6"/>
      <c r="H460" s="6"/>
      <c r="I460" s="5"/>
    </row>
    <row r="461" spans="4:9" ht="12.75" x14ac:dyDescent="0.2">
      <c r="D461" s="12"/>
      <c r="E461" s="12"/>
      <c r="F461" s="6"/>
      <c r="G461" s="6"/>
      <c r="H461" s="6"/>
      <c r="I461" s="5"/>
    </row>
    <row r="462" spans="4:9" ht="12.75" x14ac:dyDescent="0.2">
      <c r="D462" s="12"/>
      <c r="E462" s="12"/>
      <c r="F462" s="6"/>
      <c r="G462" s="6"/>
      <c r="H462" s="6"/>
      <c r="I462" s="5"/>
    </row>
    <row r="463" spans="4:9" ht="12.75" x14ac:dyDescent="0.2">
      <c r="D463" s="12"/>
      <c r="E463" s="12"/>
      <c r="F463" s="6"/>
      <c r="G463" s="6"/>
      <c r="H463" s="6"/>
      <c r="I463" s="5"/>
    </row>
    <row r="464" spans="4:9" ht="12.75" x14ac:dyDescent="0.2">
      <c r="D464" s="12"/>
      <c r="E464" s="12"/>
      <c r="F464" s="6"/>
      <c r="G464" s="6"/>
      <c r="H464" s="6"/>
      <c r="I464" s="5"/>
    </row>
    <row r="465" spans="4:9" ht="12.75" x14ac:dyDescent="0.2">
      <c r="D465" s="12"/>
      <c r="E465" s="12"/>
      <c r="F465" s="6"/>
      <c r="G465" s="6"/>
      <c r="H465" s="6"/>
      <c r="I465" s="5"/>
    </row>
    <row r="466" spans="4:9" ht="12.75" x14ac:dyDescent="0.2">
      <c r="D466" s="12"/>
      <c r="E466" s="12"/>
      <c r="F466" s="6"/>
      <c r="G466" s="6"/>
      <c r="H466" s="6"/>
      <c r="I466" s="5"/>
    </row>
    <row r="467" spans="4:9" ht="12.75" x14ac:dyDescent="0.2">
      <c r="D467" s="12"/>
      <c r="E467" s="12"/>
      <c r="F467" s="6"/>
      <c r="G467" s="6"/>
      <c r="H467" s="6"/>
      <c r="I467" s="5"/>
    </row>
    <row r="468" spans="4:9" ht="12.75" x14ac:dyDescent="0.2">
      <c r="D468" s="12"/>
      <c r="E468" s="12"/>
    </row>
    <row r="469" spans="4:9" ht="12.75" x14ac:dyDescent="0.2">
      <c r="D469" s="12"/>
      <c r="E469" s="12"/>
    </row>
    <row r="470" spans="4:9" ht="12.75" x14ac:dyDescent="0.2">
      <c r="D470" s="12"/>
      <c r="E470" s="12"/>
    </row>
    <row r="471" spans="4:9" ht="12.75" x14ac:dyDescent="0.2">
      <c r="D471" s="12"/>
      <c r="E471" s="12"/>
    </row>
    <row r="472" spans="4:9" ht="12.75" x14ac:dyDescent="0.2">
      <c r="D472" s="12"/>
      <c r="E472" s="12"/>
    </row>
    <row r="473" spans="4:9" ht="12.75" x14ac:dyDescent="0.2">
      <c r="D473" s="12"/>
      <c r="E473" s="12"/>
    </row>
    <row r="474" spans="4:9" ht="12.75" x14ac:dyDescent="0.2">
      <c r="D474" s="12"/>
      <c r="E474" s="12"/>
    </row>
    <row r="475" spans="4:9" ht="12.75" x14ac:dyDescent="0.2">
      <c r="D475" s="12"/>
      <c r="E475" s="12"/>
    </row>
    <row r="476" spans="4:9" ht="12.75" x14ac:dyDescent="0.2">
      <c r="D476" s="12"/>
      <c r="E476" s="12"/>
    </row>
    <row r="477" spans="4:9" ht="12.75" x14ac:dyDescent="0.2">
      <c r="D477" s="12"/>
      <c r="E477" s="12"/>
    </row>
    <row r="478" spans="4:9" ht="12.75" x14ac:dyDescent="0.2">
      <c r="D478" s="12"/>
      <c r="E478" s="12"/>
    </row>
    <row r="479" spans="4:9" ht="12.75" x14ac:dyDescent="0.2">
      <c r="D479" s="12"/>
      <c r="E479" s="12"/>
    </row>
    <row r="480" spans="4:9" ht="12.75" x14ac:dyDescent="0.2">
      <c r="D480" s="12"/>
      <c r="E480" s="12"/>
    </row>
    <row r="481" spans="4:5" ht="12.75" x14ac:dyDescent="0.2">
      <c r="D481" s="12"/>
      <c r="E481" s="12"/>
    </row>
    <row r="482" spans="4:5" ht="12.75" x14ac:dyDescent="0.2">
      <c r="D482" s="12"/>
      <c r="E482" s="12"/>
    </row>
    <row r="483" spans="4:5" ht="12.75" x14ac:dyDescent="0.2">
      <c r="D483" s="12"/>
      <c r="E483" s="12"/>
    </row>
    <row r="484" spans="4:5" ht="12.75" x14ac:dyDescent="0.2">
      <c r="D484" s="12"/>
      <c r="E484" s="12"/>
    </row>
    <row r="485" spans="4:5" ht="12.75" x14ac:dyDescent="0.2">
      <c r="D485" s="12"/>
      <c r="E485" s="12"/>
    </row>
    <row r="486" spans="4:5" ht="12.75" x14ac:dyDescent="0.2">
      <c r="D486" s="12"/>
      <c r="E486" s="12"/>
    </row>
    <row r="487" spans="4:5" ht="12.75" x14ac:dyDescent="0.2">
      <c r="D487" s="12"/>
      <c r="E487" s="12"/>
    </row>
    <row r="488" spans="4:5" ht="12.75" x14ac:dyDescent="0.2">
      <c r="D488" s="12"/>
      <c r="E488" s="12"/>
    </row>
    <row r="489" spans="4:5" ht="12.75" x14ac:dyDescent="0.2">
      <c r="D489" s="12"/>
      <c r="E489" s="12"/>
    </row>
    <row r="490" spans="4:5" ht="12.75" x14ac:dyDescent="0.2">
      <c r="D490" s="12"/>
      <c r="E490" s="12"/>
    </row>
    <row r="491" spans="4:5" ht="12.75" x14ac:dyDescent="0.2">
      <c r="D491" s="12"/>
      <c r="E491" s="12"/>
    </row>
    <row r="492" spans="4:5" ht="12.75" x14ac:dyDescent="0.2">
      <c r="D492" s="12"/>
      <c r="E492" s="12"/>
    </row>
    <row r="493" spans="4:5" ht="12.75" x14ac:dyDescent="0.2">
      <c r="D493" s="12"/>
      <c r="E493" s="12"/>
    </row>
    <row r="494" spans="4:5" ht="12.75" x14ac:dyDescent="0.2">
      <c r="D494" s="12"/>
      <c r="E494" s="12"/>
    </row>
    <row r="495" spans="4:5" ht="12.75" x14ac:dyDescent="0.2">
      <c r="D495" s="12"/>
      <c r="E495" s="12"/>
    </row>
    <row r="496" spans="4:5" ht="12.75" x14ac:dyDescent="0.2">
      <c r="D496" s="12"/>
      <c r="E496" s="12"/>
    </row>
    <row r="497" spans="4:5" ht="12.75" x14ac:dyDescent="0.2">
      <c r="D497" s="12"/>
      <c r="E497" s="12"/>
    </row>
    <row r="498" spans="4:5" ht="12.75" x14ac:dyDescent="0.2">
      <c r="D498" s="12"/>
      <c r="E498" s="12"/>
    </row>
    <row r="499" spans="4:5" ht="12.75" x14ac:dyDescent="0.2">
      <c r="D499" s="12"/>
      <c r="E499" s="12"/>
    </row>
    <row r="500" spans="4:5" ht="12.75" x14ac:dyDescent="0.2">
      <c r="D500" s="12"/>
      <c r="E500" s="12"/>
    </row>
    <row r="501" spans="4:5" ht="12.75" x14ac:dyDescent="0.2">
      <c r="D501" s="12"/>
      <c r="E501" s="12"/>
    </row>
    <row r="502" spans="4:5" ht="12.75" x14ac:dyDescent="0.2">
      <c r="D502" s="12"/>
      <c r="E502" s="12"/>
    </row>
    <row r="503" spans="4:5" ht="12.75" x14ac:dyDescent="0.2">
      <c r="D503" s="12"/>
      <c r="E503" s="12"/>
    </row>
    <row r="504" spans="4:5" ht="12.75" x14ac:dyDescent="0.2">
      <c r="D504" s="12"/>
      <c r="E504" s="12"/>
    </row>
    <row r="505" spans="4:5" ht="12.75" x14ac:dyDescent="0.2">
      <c r="D505" s="12"/>
      <c r="E505" s="12"/>
    </row>
    <row r="506" spans="4:5" ht="12.75" x14ac:dyDescent="0.2">
      <c r="D506" s="12"/>
      <c r="E506" s="12"/>
    </row>
    <row r="507" spans="4:5" ht="12.75" x14ac:dyDescent="0.2">
      <c r="D507" s="12"/>
      <c r="E507" s="12"/>
    </row>
    <row r="508" spans="4:5" ht="12.75" x14ac:dyDescent="0.2">
      <c r="D508" s="12"/>
      <c r="E508" s="12"/>
    </row>
    <row r="509" spans="4:5" ht="12.75" x14ac:dyDescent="0.2">
      <c r="D509" s="12"/>
      <c r="E509" s="12"/>
    </row>
    <row r="510" spans="4:5" ht="12.75" x14ac:dyDescent="0.2">
      <c r="D510" s="12"/>
      <c r="E510" s="12"/>
    </row>
    <row r="511" spans="4:5" ht="12.75" x14ac:dyDescent="0.2">
      <c r="D511" s="12"/>
      <c r="E511" s="12"/>
    </row>
    <row r="512" spans="4:5" ht="12.75" x14ac:dyDescent="0.2">
      <c r="D512" s="12"/>
      <c r="E512" s="12"/>
    </row>
    <row r="513" spans="4:5" ht="12.75" x14ac:dyDescent="0.2">
      <c r="D513" s="12"/>
      <c r="E513" s="12"/>
    </row>
    <row r="514" spans="4:5" ht="12.75" x14ac:dyDescent="0.2">
      <c r="D514" s="12"/>
      <c r="E514" s="12"/>
    </row>
    <row r="515" spans="4:5" ht="12.75" x14ac:dyDescent="0.2">
      <c r="D515" s="12"/>
      <c r="E515" s="12"/>
    </row>
    <row r="516" spans="4:5" ht="12.75" x14ac:dyDescent="0.2">
      <c r="D516" s="12"/>
      <c r="E516" s="12"/>
    </row>
    <row r="517" spans="4:5" ht="12.75" x14ac:dyDescent="0.2">
      <c r="D517" s="12"/>
      <c r="E517" s="12"/>
    </row>
    <row r="518" spans="4:5" ht="12.75" x14ac:dyDescent="0.2">
      <c r="D518" s="12"/>
      <c r="E518" s="12"/>
    </row>
    <row r="519" spans="4:5" ht="12.75" x14ac:dyDescent="0.2">
      <c r="D519" s="12"/>
      <c r="E519" s="12"/>
    </row>
    <row r="520" spans="4:5" ht="12.75" x14ac:dyDescent="0.2">
      <c r="D520" s="12"/>
      <c r="E520" s="12"/>
    </row>
    <row r="521" spans="4:5" ht="12.75" x14ac:dyDescent="0.2">
      <c r="D521" s="12"/>
      <c r="E521" s="12"/>
    </row>
    <row r="522" spans="4:5" ht="12.75" x14ac:dyDescent="0.2">
      <c r="D522" s="12"/>
      <c r="E522" s="12"/>
    </row>
    <row r="523" spans="4:5" ht="12.75" x14ac:dyDescent="0.2">
      <c r="D523" s="12"/>
      <c r="E523" s="12"/>
    </row>
    <row r="524" spans="4:5" ht="12.75" x14ac:dyDescent="0.2">
      <c r="D524" s="12"/>
      <c r="E524" s="12"/>
    </row>
    <row r="525" spans="4:5" ht="12.75" x14ac:dyDescent="0.2">
      <c r="D525" s="12"/>
      <c r="E525" s="12"/>
    </row>
    <row r="526" spans="4:5" ht="12.75" x14ac:dyDescent="0.2">
      <c r="D526" s="12"/>
      <c r="E526" s="12"/>
    </row>
    <row r="527" spans="4:5" ht="12.75" x14ac:dyDescent="0.2">
      <c r="D527" s="12"/>
      <c r="E527" s="12"/>
    </row>
    <row r="528" spans="4:5" ht="12.75" x14ac:dyDescent="0.2">
      <c r="D528" s="12"/>
      <c r="E528" s="12"/>
    </row>
    <row r="529" spans="4:5" ht="12.75" x14ac:dyDescent="0.2">
      <c r="D529" s="12"/>
      <c r="E529" s="12"/>
    </row>
    <row r="530" spans="4:5" ht="12.75" x14ac:dyDescent="0.2">
      <c r="D530" s="12"/>
      <c r="E530" s="12"/>
    </row>
    <row r="531" spans="4:5" ht="12.75" x14ac:dyDescent="0.2">
      <c r="D531" s="12"/>
      <c r="E531" s="12"/>
    </row>
    <row r="532" spans="4:5" ht="12.75" x14ac:dyDescent="0.2">
      <c r="D532" s="12"/>
      <c r="E532" s="12"/>
    </row>
    <row r="533" spans="4:5" ht="12.75" x14ac:dyDescent="0.2">
      <c r="D533" s="12"/>
      <c r="E533" s="12"/>
    </row>
    <row r="534" spans="4:5" ht="12.75" x14ac:dyDescent="0.2">
      <c r="D534" s="12"/>
      <c r="E534" s="12"/>
    </row>
    <row r="535" spans="4:5" ht="12.75" x14ac:dyDescent="0.2">
      <c r="D535" s="12"/>
      <c r="E535" s="12"/>
    </row>
    <row r="536" spans="4:5" ht="12.75" x14ac:dyDescent="0.2">
      <c r="D536" s="12"/>
      <c r="E536" s="12"/>
    </row>
    <row r="537" spans="4:5" ht="12.75" x14ac:dyDescent="0.2">
      <c r="D537" s="12"/>
      <c r="E537" s="12"/>
    </row>
    <row r="538" spans="4:5" ht="12.75" x14ac:dyDescent="0.2">
      <c r="D538" s="12"/>
      <c r="E538" s="12"/>
    </row>
    <row r="539" spans="4:5" ht="12.75" x14ac:dyDescent="0.2">
      <c r="D539" s="12"/>
      <c r="E539" s="12"/>
    </row>
    <row r="540" spans="4:5" ht="12.75" x14ac:dyDescent="0.2">
      <c r="D540" s="12"/>
      <c r="E540" s="12"/>
    </row>
    <row r="541" spans="4:5" ht="12.75" x14ac:dyDescent="0.2">
      <c r="D541" s="12"/>
      <c r="E541" s="12"/>
    </row>
    <row r="542" spans="4:5" ht="12.75" x14ac:dyDescent="0.2">
      <c r="D542" s="12"/>
      <c r="E542" s="12"/>
    </row>
    <row r="543" spans="4:5" ht="12.75" x14ac:dyDescent="0.2">
      <c r="D543" s="12"/>
      <c r="E543" s="12"/>
    </row>
    <row r="544" spans="4:5" ht="12.75" x14ac:dyDescent="0.2">
      <c r="D544" s="12"/>
      <c r="E544" s="12"/>
    </row>
    <row r="545" spans="4:5" ht="12.75" x14ac:dyDescent="0.2">
      <c r="D545" s="12"/>
      <c r="E545" s="12"/>
    </row>
    <row r="546" spans="4:5" ht="12.75" x14ac:dyDescent="0.2">
      <c r="D546" s="12"/>
      <c r="E546" s="12"/>
    </row>
    <row r="547" spans="4:5" ht="12.75" x14ac:dyDescent="0.2">
      <c r="D547" s="12"/>
      <c r="E547" s="12"/>
    </row>
    <row r="548" spans="4:5" ht="12.75" x14ac:dyDescent="0.2">
      <c r="D548" s="12"/>
      <c r="E548" s="12"/>
    </row>
    <row r="549" spans="4:5" ht="12.75" x14ac:dyDescent="0.2">
      <c r="D549" s="12"/>
      <c r="E549" s="12"/>
    </row>
    <row r="550" spans="4:5" ht="12.75" x14ac:dyDescent="0.2">
      <c r="D550" s="12"/>
      <c r="E550" s="12"/>
    </row>
    <row r="551" spans="4:5" ht="12.75" x14ac:dyDescent="0.2">
      <c r="D551" s="12"/>
      <c r="E551" s="12"/>
    </row>
    <row r="552" spans="4:5" ht="12.75" x14ac:dyDescent="0.2">
      <c r="D552" s="12"/>
      <c r="E552" s="12"/>
    </row>
    <row r="553" spans="4:5" ht="12.75" x14ac:dyDescent="0.2">
      <c r="D553" s="12"/>
      <c r="E553" s="12"/>
    </row>
    <row r="554" spans="4:5" ht="12.75" x14ac:dyDescent="0.2">
      <c r="D554" s="12"/>
      <c r="E554" s="12"/>
    </row>
    <row r="555" spans="4:5" ht="12.75" x14ac:dyDescent="0.2">
      <c r="D555" s="12"/>
      <c r="E555" s="12"/>
    </row>
    <row r="556" spans="4:5" ht="12.75" x14ac:dyDescent="0.2">
      <c r="D556" s="12"/>
      <c r="E556" s="12"/>
    </row>
    <row r="557" spans="4:5" ht="12.75" x14ac:dyDescent="0.2">
      <c r="D557" s="12"/>
      <c r="E557" s="12"/>
    </row>
    <row r="558" spans="4:5" ht="12.75" x14ac:dyDescent="0.2">
      <c r="D558" s="12"/>
      <c r="E558" s="12"/>
    </row>
    <row r="559" spans="4:5" ht="12.75" x14ac:dyDescent="0.2">
      <c r="D559" s="12"/>
      <c r="E559" s="12"/>
    </row>
    <row r="560" spans="4:5" ht="12.75" x14ac:dyDescent="0.2">
      <c r="D560" s="12"/>
      <c r="E560" s="12"/>
    </row>
    <row r="561" spans="4:5" ht="12.75" x14ac:dyDescent="0.2">
      <c r="D561" s="12"/>
      <c r="E561" s="12"/>
    </row>
    <row r="562" spans="4:5" ht="12.75" x14ac:dyDescent="0.2">
      <c r="D562" s="12"/>
      <c r="E562" s="12"/>
    </row>
    <row r="563" spans="4:5" ht="12.75" x14ac:dyDescent="0.2">
      <c r="D563" s="12"/>
      <c r="E563" s="12"/>
    </row>
    <row r="564" spans="4:5" ht="12.75" x14ac:dyDescent="0.2">
      <c r="D564" s="12"/>
      <c r="E564" s="12"/>
    </row>
    <row r="565" spans="4:5" ht="12.75" x14ac:dyDescent="0.2">
      <c r="D565" s="12"/>
      <c r="E565" s="12"/>
    </row>
    <row r="566" spans="4:5" ht="12.75" x14ac:dyDescent="0.2">
      <c r="D566" s="12"/>
      <c r="E566" s="12"/>
    </row>
    <row r="567" spans="4:5" ht="12.75" x14ac:dyDescent="0.2">
      <c r="D567" s="12"/>
      <c r="E567" s="12"/>
    </row>
    <row r="568" spans="4:5" ht="12.75" x14ac:dyDescent="0.2">
      <c r="D568" s="12"/>
      <c r="E568" s="12"/>
    </row>
    <row r="569" spans="4:5" ht="12.75" x14ac:dyDescent="0.2">
      <c r="D569" s="12"/>
      <c r="E569" s="12"/>
    </row>
    <row r="570" spans="4:5" ht="12.75" x14ac:dyDescent="0.2">
      <c r="D570" s="12"/>
      <c r="E570" s="12"/>
    </row>
    <row r="571" spans="4:5" ht="12.75" x14ac:dyDescent="0.2">
      <c r="D571" s="12"/>
      <c r="E571" s="12"/>
    </row>
    <row r="572" spans="4:5" ht="12.75" x14ac:dyDescent="0.2">
      <c r="D572" s="12"/>
      <c r="E572" s="12"/>
    </row>
    <row r="573" spans="4:5" ht="12.75" x14ac:dyDescent="0.2">
      <c r="D573" s="12"/>
      <c r="E573" s="12"/>
    </row>
    <row r="574" spans="4:5" ht="12.75" x14ac:dyDescent="0.2">
      <c r="D574" s="12"/>
      <c r="E574" s="12"/>
    </row>
    <row r="575" spans="4:5" ht="12.75" x14ac:dyDescent="0.2">
      <c r="D575" s="12"/>
      <c r="E575" s="12"/>
    </row>
    <row r="576" spans="4:5" ht="12.75" x14ac:dyDescent="0.2">
      <c r="D576" s="12"/>
      <c r="E576" s="12"/>
    </row>
    <row r="577" spans="4:5" ht="12.75" x14ac:dyDescent="0.2">
      <c r="D577" s="12"/>
      <c r="E577" s="12"/>
    </row>
    <row r="578" spans="4:5" ht="12.75" x14ac:dyDescent="0.2">
      <c r="D578" s="12"/>
      <c r="E578" s="12"/>
    </row>
    <row r="579" spans="4:5" ht="12.75" x14ac:dyDescent="0.2">
      <c r="D579" s="12"/>
      <c r="E579" s="12"/>
    </row>
    <row r="580" spans="4:5" ht="12.75" x14ac:dyDescent="0.2">
      <c r="D580" s="12"/>
      <c r="E580" s="12"/>
    </row>
    <row r="581" spans="4:5" ht="12.75" x14ac:dyDescent="0.2">
      <c r="D581" s="12"/>
      <c r="E581" s="12"/>
    </row>
    <row r="582" spans="4:5" ht="12.75" x14ac:dyDescent="0.2">
      <c r="D582" s="12"/>
      <c r="E582" s="12"/>
    </row>
    <row r="583" spans="4:5" ht="12.75" x14ac:dyDescent="0.2">
      <c r="D583" s="12"/>
      <c r="E583" s="12"/>
    </row>
    <row r="584" spans="4:5" ht="12.75" x14ac:dyDescent="0.2">
      <c r="D584" s="12"/>
      <c r="E584" s="12"/>
    </row>
    <row r="585" spans="4:5" ht="12.75" x14ac:dyDescent="0.2">
      <c r="D585" s="12"/>
      <c r="E585" s="12"/>
    </row>
    <row r="586" spans="4:5" ht="12.75" x14ac:dyDescent="0.2">
      <c r="D586" s="12"/>
      <c r="E586" s="12"/>
    </row>
    <row r="587" spans="4:5" ht="12.75" x14ac:dyDescent="0.2">
      <c r="D587" s="12"/>
      <c r="E587" s="12"/>
    </row>
    <row r="588" spans="4:5" ht="12.75" x14ac:dyDescent="0.2">
      <c r="D588" s="12"/>
      <c r="E588" s="12"/>
    </row>
    <row r="589" spans="4:5" ht="12.75" x14ac:dyDescent="0.2">
      <c r="D589" s="12"/>
      <c r="E589" s="12"/>
    </row>
    <row r="590" spans="4:5" ht="12.75" x14ac:dyDescent="0.2">
      <c r="D590" s="12"/>
      <c r="E590" s="12"/>
    </row>
    <row r="591" spans="4:5" ht="12.75" x14ac:dyDescent="0.2">
      <c r="D591" s="12"/>
      <c r="E591" s="12"/>
    </row>
    <row r="592" spans="4:5" ht="12.75" x14ac:dyDescent="0.2">
      <c r="D592" s="12"/>
      <c r="E592" s="12"/>
    </row>
    <row r="593" spans="4:5" ht="12.75" x14ac:dyDescent="0.2">
      <c r="D593" s="12"/>
      <c r="E593" s="12"/>
    </row>
    <row r="594" spans="4:5" ht="12.75" x14ac:dyDescent="0.2">
      <c r="D594" s="12"/>
      <c r="E594" s="12"/>
    </row>
    <row r="595" spans="4:5" ht="12.75" x14ac:dyDescent="0.2">
      <c r="D595" s="12"/>
      <c r="E595" s="12"/>
    </row>
    <row r="596" spans="4:5" ht="12.75" x14ac:dyDescent="0.2">
      <c r="D596" s="12"/>
      <c r="E596" s="12"/>
    </row>
    <row r="597" spans="4:5" ht="12.75" x14ac:dyDescent="0.2">
      <c r="D597" s="12"/>
      <c r="E597" s="12"/>
    </row>
    <row r="598" spans="4:5" ht="12.75" x14ac:dyDescent="0.2">
      <c r="D598" s="12"/>
      <c r="E598" s="12"/>
    </row>
    <row r="599" spans="4:5" ht="12.75" x14ac:dyDescent="0.2">
      <c r="D599" s="12"/>
      <c r="E599" s="12"/>
    </row>
    <row r="600" spans="4:5" ht="12.75" x14ac:dyDescent="0.2">
      <c r="D600" s="12"/>
      <c r="E600" s="12"/>
    </row>
    <row r="601" spans="4:5" ht="12.75" x14ac:dyDescent="0.2">
      <c r="D601" s="12"/>
      <c r="E601" s="12"/>
    </row>
    <row r="602" spans="4:5" ht="12.75" x14ac:dyDescent="0.2">
      <c r="D602" s="12"/>
      <c r="E602" s="12"/>
    </row>
    <row r="603" spans="4:5" ht="12.75" x14ac:dyDescent="0.2">
      <c r="D603" s="12"/>
      <c r="E603" s="12"/>
    </row>
    <row r="604" spans="4:5" ht="12.75" x14ac:dyDescent="0.2">
      <c r="D604" s="12"/>
      <c r="E604" s="12"/>
    </row>
    <row r="605" spans="4:5" ht="12.75" x14ac:dyDescent="0.2">
      <c r="D605" s="12"/>
      <c r="E605" s="12"/>
    </row>
    <row r="606" spans="4:5" ht="12.75" x14ac:dyDescent="0.2">
      <c r="D606" s="12"/>
      <c r="E606" s="12"/>
    </row>
    <row r="607" spans="4:5" ht="12.75" x14ac:dyDescent="0.2">
      <c r="D607" s="12"/>
      <c r="E607" s="12"/>
    </row>
    <row r="608" spans="4:5" ht="12.75" x14ac:dyDescent="0.2">
      <c r="D608" s="12"/>
      <c r="E608" s="12"/>
    </row>
    <row r="609" spans="4:5" ht="12.75" x14ac:dyDescent="0.2">
      <c r="D609" s="12"/>
      <c r="E609" s="12"/>
    </row>
    <row r="610" spans="4:5" ht="12.75" x14ac:dyDescent="0.2">
      <c r="D610" s="12"/>
      <c r="E610" s="12"/>
    </row>
    <row r="611" spans="4:5" ht="12.75" x14ac:dyDescent="0.2">
      <c r="D611" s="12"/>
      <c r="E611" s="12"/>
    </row>
    <row r="612" spans="4:5" ht="12.75" x14ac:dyDescent="0.2">
      <c r="D612" s="12"/>
      <c r="E612" s="12"/>
    </row>
    <row r="613" spans="4:5" ht="12.75" x14ac:dyDescent="0.2">
      <c r="D613" s="12"/>
      <c r="E613" s="12"/>
    </row>
    <row r="614" spans="4:5" ht="12.75" x14ac:dyDescent="0.2">
      <c r="D614" s="12"/>
      <c r="E614" s="12"/>
    </row>
    <row r="615" spans="4:5" ht="12.75" x14ac:dyDescent="0.2">
      <c r="D615" s="12"/>
      <c r="E615" s="12"/>
    </row>
    <row r="616" spans="4:5" ht="12.75" x14ac:dyDescent="0.2">
      <c r="D616" s="12"/>
      <c r="E616" s="12"/>
    </row>
    <row r="617" spans="4:5" ht="12.75" x14ac:dyDescent="0.2">
      <c r="D617" s="12"/>
      <c r="E617" s="12"/>
    </row>
    <row r="618" spans="4:5" ht="12.75" x14ac:dyDescent="0.2">
      <c r="D618" s="12"/>
      <c r="E618" s="12"/>
    </row>
    <row r="619" spans="4:5" ht="12.75" x14ac:dyDescent="0.2">
      <c r="D619" s="12"/>
      <c r="E619" s="12"/>
    </row>
    <row r="620" spans="4:5" ht="12.75" x14ac:dyDescent="0.2">
      <c r="D620" s="12"/>
      <c r="E620" s="12"/>
    </row>
    <row r="621" spans="4:5" ht="12.75" x14ac:dyDescent="0.2">
      <c r="D621" s="12"/>
      <c r="E621" s="12"/>
    </row>
    <row r="622" spans="4:5" ht="12.75" x14ac:dyDescent="0.2">
      <c r="D622" s="12"/>
      <c r="E622" s="12"/>
    </row>
    <row r="623" spans="4:5" ht="12.75" x14ac:dyDescent="0.2">
      <c r="D623" s="12"/>
      <c r="E623" s="12"/>
    </row>
    <row r="624" spans="4:5" ht="12.75" x14ac:dyDescent="0.2">
      <c r="D624" s="12"/>
      <c r="E624" s="12"/>
    </row>
    <row r="625" spans="4:5" ht="12.75" x14ac:dyDescent="0.2">
      <c r="D625" s="12"/>
      <c r="E625" s="12"/>
    </row>
    <row r="626" spans="4:5" ht="12.75" x14ac:dyDescent="0.2">
      <c r="D626" s="12"/>
      <c r="E626" s="12"/>
    </row>
    <row r="627" spans="4:5" ht="12.75" x14ac:dyDescent="0.2">
      <c r="D627" s="12"/>
      <c r="E627" s="12"/>
    </row>
    <row r="628" spans="4:5" ht="12.75" x14ac:dyDescent="0.2">
      <c r="D628" s="12"/>
      <c r="E628" s="12"/>
    </row>
    <row r="629" spans="4:5" ht="12.75" x14ac:dyDescent="0.2">
      <c r="D629" s="12"/>
      <c r="E629" s="12"/>
    </row>
    <row r="630" spans="4:5" ht="12.75" x14ac:dyDescent="0.2">
      <c r="D630" s="12"/>
      <c r="E630" s="12"/>
    </row>
    <row r="631" spans="4:5" ht="12.75" x14ac:dyDescent="0.2">
      <c r="D631" s="12"/>
      <c r="E631" s="12"/>
    </row>
    <row r="632" spans="4:5" ht="12.75" x14ac:dyDescent="0.2">
      <c r="D632" s="12"/>
      <c r="E632" s="12"/>
    </row>
    <row r="633" spans="4:5" ht="12.75" x14ac:dyDescent="0.2">
      <c r="D633" s="12"/>
      <c r="E633" s="12"/>
    </row>
    <row r="634" spans="4:5" ht="12.75" x14ac:dyDescent="0.2">
      <c r="D634" s="12"/>
      <c r="E634" s="12"/>
    </row>
    <row r="635" spans="4:5" ht="12.75" x14ac:dyDescent="0.2">
      <c r="D635" s="12"/>
      <c r="E635" s="12"/>
    </row>
    <row r="636" spans="4:5" ht="12.75" x14ac:dyDescent="0.2">
      <c r="D636" s="12"/>
      <c r="E636" s="12"/>
    </row>
    <row r="637" spans="4:5" ht="12.75" x14ac:dyDescent="0.2">
      <c r="D637" s="12"/>
      <c r="E637" s="12"/>
    </row>
    <row r="638" spans="4:5" ht="12.75" x14ac:dyDescent="0.2">
      <c r="D638" s="12"/>
      <c r="E638" s="12"/>
    </row>
    <row r="639" spans="4:5" ht="12.75" x14ac:dyDescent="0.2">
      <c r="D639" s="12"/>
      <c r="E639" s="12"/>
    </row>
    <row r="640" spans="4:5" ht="12.75" x14ac:dyDescent="0.2">
      <c r="D640" s="12"/>
      <c r="E640" s="12"/>
    </row>
    <row r="641" spans="4:5" ht="12.75" x14ac:dyDescent="0.2">
      <c r="D641" s="12"/>
      <c r="E641" s="12"/>
    </row>
    <row r="642" spans="4:5" ht="12.75" x14ac:dyDescent="0.2">
      <c r="D642" s="12"/>
      <c r="E642" s="12"/>
    </row>
    <row r="643" spans="4:5" ht="12.75" x14ac:dyDescent="0.2">
      <c r="D643" s="12"/>
      <c r="E643" s="12"/>
    </row>
    <row r="644" spans="4:5" ht="12.75" x14ac:dyDescent="0.2">
      <c r="D644" s="12"/>
      <c r="E644" s="12"/>
    </row>
    <row r="645" spans="4:5" ht="12.75" x14ac:dyDescent="0.2">
      <c r="D645" s="12"/>
      <c r="E645" s="12"/>
    </row>
    <row r="646" spans="4:5" ht="12.75" x14ac:dyDescent="0.2">
      <c r="D646" s="12"/>
      <c r="E646" s="12"/>
    </row>
    <row r="647" spans="4:5" ht="12.75" x14ac:dyDescent="0.2">
      <c r="D647" s="12"/>
      <c r="E647" s="12"/>
    </row>
    <row r="648" spans="4:5" ht="12.75" x14ac:dyDescent="0.2">
      <c r="D648" s="12"/>
      <c r="E648" s="12"/>
    </row>
    <row r="649" spans="4:5" ht="12.75" x14ac:dyDescent="0.2">
      <c r="D649" s="12"/>
      <c r="E649" s="12"/>
    </row>
    <row r="650" spans="4:5" ht="12.75" x14ac:dyDescent="0.2">
      <c r="D650" s="12"/>
      <c r="E650" s="12"/>
    </row>
    <row r="651" spans="4:5" ht="12.75" x14ac:dyDescent="0.2">
      <c r="D651" s="12"/>
      <c r="E651" s="12"/>
    </row>
    <row r="652" spans="4:5" ht="12.75" x14ac:dyDescent="0.2">
      <c r="D652" s="12"/>
      <c r="E652" s="12"/>
    </row>
    <row r="653" spans="4:5" ht="12.75" x14ac:dyDescent="0.2">
      <c r="D653" s="12"/>
      <c r="E653" s="12"/>
    </row>
    <row r="654" spans="4:5" ht="12.75" x14ac:dyDescent="0.2">
      <c r="D654" s="12"/>
      <c r="E654" s="12"/>
    </row>
    <row r="655" spans="4:5" ht="12.75" x14ac:dyDescent="0.2">
      <c r="D655" s="12"/>
      <c r="E655" s="12"/>
    </row>
    <row r="656" spans="4:5" ht="12.75" x14ac:dyDescent="0.2">
      <c r="D656" s="12"/>
      <c r="E656" s="12"/>
    </row>
    <row r="657" spans="4:5" ht="12.75" x14ac:dyDescent="0.2">
      <c r="D657" s="12"/>
      <c r="E657" s="12"/>
    </row>
    <row r="658" spans="4:5" ht="12.75" x14ac:dyDescent="0.2">
      <c r="D658" s="12"/>
      <c r="E658" s="12"/>
    </row>
    <row r="659" spans="4:5" ht="12.75" x14ac:dyDescent="0.2">
      <c r="D659" s="12"/>
      <c r="E659" s="12"/>
    </row>
    <row r="660" spans="4:5" ht="12.75" x14ac:dyDescent="0.2">
      <c r="D660" s="12"/>
      <c r="E660" s="12"/>
    </row>
    <row r="661" spans="4:5" ht="12.75" x14ac:dyDescent="0.2">
      <c r="D661" s="12"/>
      <c r="E661" s="12"/>
    </row>
    <row r="662" spans="4:5" ht="12.75" x14ac:dyDescent="0.2">
      <c r="D662" s="12"/>
      <c r="E662" s="12"/>
    </row>
    <row r="663" spans="4:5" ht="12.75" x14ac:dyDescent="0.2">
      <c r="D663" s="12"/>
      <c r="E663" s="12"/>
    </row>
    <row r="664" spans="4:5" ht="12.75" x14ac:dyDescent="0.2">
      <c r="D664" s="12"/>
      <c r="E664" s="12"/>
    </row>
    <row r="665" spans="4:5" ht="12.75" x14ac:dyDescent="0.2">
      <c r="D665" s="12"/>
      <c r="E665" s="12"/>
    </row>
    <row r="666" spans="4:5" ht="12.75" x14ac:dyDescent="0.2">
      <c r="D666" s="12"/>
      <c r="E666" s="12"/>
    </row>
    <row r="667" spans="4:5" ht="12.75" x14ac:dyDescent="0.2">
      <c r="D667" s="12"/>
      <c r="E667" s="12"/>
    </row>
    <row r="668" spans="4:5" ht="12.75" x14ac:dyDescent="0.2">
      <c r="D668" s="12"/>
      <c r="E668" s="12"/>
    </row>
    <row r="669" spans="4:5" ht="12.75" x14ac:dyDescent="0.2">
      <c r="D669" s="12"/>
      <c r="E669" s="12"/>
    </row>
    <row r="670" spans="4:5" ht="12.75" x14ac:dyDescent="0.2">
      <c r="D670" s="12"/>
      <c r="E670" s="12"/>
    </row>
    <row r="671" spans="4:5" ht="12.75" x14ac:dyDescent="0.2">
      <c r="D671" s="12"/>
      <c r="E671" s="12"/>
    </row>
    <row r="672" spans="4:5" ht="12.75" x14ac:dyDescent="0.2">
      <c r="D672" s="12"/>
      <c r="E672" s="12"/>
    </row>
    <row r="673" spans="4:5" ht="12.75" x14ac:dyDescent="0.2">
      <c r="D673" s="12"/>
      <c r="E673" s="12"/>
    </row>
    <row r="674" spans="4:5" ht="12.75" x14ac:dyDescent="0.2">
      <c r="D674" s="12"/>
      <c r="E674" s="12"/>
    </row>
    <row r="675" spans="4:5" ht="12.75" x14ac:dyDescent="0.2">
      <c r="D675" s="12"/>
      <c r="E675" s="12"/>
    </row>
    <row r="676" spans="4:5" ht="12.75" x14ac:dyDescent="0.2">
      <c r="D676" s="12"/>
      <c r="E676" s="12"/>
    </row>
    <row r="677" spans="4:5" ht="12.75" x14ac:dyDescent="0.2">
      <c r="D677" s="12"/>
      <c r="E677" s="12"/>
    </row>
    <row r="678" spans="4:5" ht="12.75" x14ac:dyDescent="0.2">
      <c r="D678" s="12"/>
      <c r="E678" s="12"/>
    </row>
    <row r="679" spans="4:5" ht="12.75" x14ac:dyDescent="0.2">
      <c r="D679" s="12"/>
      <c r="E679" s="12"/>
    </row>
    <row r="680" spans="4:5" ht="12.75" x14ac:dyDescent="0.2">
      <c r="D680" s="12"/>
      <c r="E680" s="12"/>
    </row>
    <row r="681" spans="4:5" ht="12.75" x14ac:dyDescent="0.2">
      <c r="D681" s="12"/>
      <c r="E681" s="12"/>
    </row>
    <row r="682" spans="4:5" ht="12.75" x14ac:dyDescent="0.2">
      <c r="D682" s="12"/>
      <c r="E682" s="12"/>
    </row>
    <row r="683" spans="4:5" ht="12.75" x14ac:dyDescent="0.2">
      <c r="D683" s="12"/>
      <c r="E683" s="12"/>
    </row>
    <row r="684" spans="4:5" ht="12.75" x14ac:dyDescent="0.2">
      <c r="D684" s="12"/>
      <c r="E684" s="12"/>
    </row>
    <row r="685" spans="4:5" ht="12.75" x14ac:dyDescent="0.2">
      <c r="D685" s="12"/>
      <c r="E685" s="12"/>
    </row>
    <row r="686" spans="4:5" ht="12.75" x14ac:dyDescent="0.2">
      <c r="D686" s="12"/>
      <c r="E686" s="12"/>
    </row>
    <row r="687" spans="4:5" ht="12.75" x14ac:dyDescent="0.2">
      <c r="D687" s="12"/>
      <c r="E687" s="12"/>
    </row>
    <row r="688" spans="4:5" ht="12.75" x14ac:dyDescent="0.2">
      <c r="D688" s="12"/>
      <c r="E688" s="12"/>
    </row>
    <row r="689" spans="4:5" ht="12.75" x14ac:dyDescent="0.2">
      <c r="D689" s="12"/>
      <c r="E689" s="12"/>
    </row>
    <row r="690" spans="4:5" ht="12.75" x14ac:dyDescent="0.2">
      <c r="D690" s="12"/>
      <c r="E690" s="12"/>
    </row>
    <row r="691" spans="4:5" ht="12.75" x14ac:dyDescent="0.2">
      <c r="D691" s="12"/>
      <c r="E691" s="12"/>
    </row>
    <row r="692" spans="4:5" ht="12.75" x14ac:dyDescent="0.2">
      <c r="D692" s="12"/>
      <c r="E692" s="12"/>
    </row>
    <row r="693" spans="4:5" ht="12.75" x14ac:dyDescent="0.2">
      <c r="D693" s="12"/>
      <c r="E693" s="12"/>
    </row>
    <row r="694" spans="4:5" ht="12.75" x14ac:dyDescent="0.2">
      <c r="D694" s="12"/>
      <c r="E694" s="12"/>
    </row>
    <row r="695" spans="4:5" ht="12.75" x14ac:dyDescent="0.2">
      <c r="D695" s="12"/>
      <c r="E695" s="12"/>
    </row>
    <row r="696" spans="4:5" ht="12.75" x14ac:dyDescent="0.2">
      <c r="D696" s="12"/>
      <c r="E696" s="12"/>
    </row>
    <row r="697" spans="4:5" ht="12.75" x14ac:dyDescent="0.2">
      <c r="D697" s="12"/>
      <c r="E697" s="12"/>
    </row>
    <row r="698" spans="4:5" ht="12.75" x14ac:dyDescent="0.2">
      <c r="D698" s="12"/>
      <c r="E698" s="12"/>
    </row>
    <row r="699" spans="4:5" ht="12.75" x14ac:dyDescent="0.2">
      <c r="D699" s="12"/>
      <c r="E699" s="12"/>
    </row>
    <row r="700" spans="4:5" ht="12.75" x14ac:dyDescent="0.2">
      <c r="D700" s="12"/>
      <c r="E700" s="12"/>
    </row>
    <row r="701" spans="4:5" ht="12.75" x14ac:dyDescent="0.2">
      <c r="D701" s="12"/>
      <c r="E701" s="12"/>
    </row>
    <row r="702" spans="4:5" ht="12.75" x14ac:dyDescent="0.2">
      <c r="D702" s="12"/>
      <c r="E702" s="12"/>
    </row>
    <row r="703" spans="4:5" ht="12.75" x14ac:dyDescent="0.2">
      <c r="D703" s="12"/>
      <c r="E703" s="12"/>
    </row>
    <row r="704" spans="4:5" ht="12.75" x14ac:dyDescent="0.2">
      <c r="D704" s="12"/>
      <c r="E704" s="12"/>
    </row>
    <row r="705" spans="4:5" ht="12.75" x14ac:dyDescent="0.2">
      <c r="D705" s="12"/>
      <c r="E705" s="12"/>
    </row>
    <row r="706" spans="4:5" ht="12.75" x14ac:dyDescent="0.2">
      <c r="D706" s="12"/>
      <c r="E706" s="12"/>
    </row>
    <row r="707" spans="4:5" ht="12.75" x14ac:dyDescent="0.2">
      <c r="D707" s="12"/>
      <c r="E707" s="12"/>
    </row>
    <row r="708" spans="4:5" ht="12.75" x14ac:dyDescent="0.2">
      <c r="D708" s="12"/>
      <c r="E708" s="12"/>
    </row>
    <row r="709" spans="4:5" ht="12.75" x14ac:dyDescent="0.2">
      <c r="D709" s="12"/>
      <c r="E709" s="12"/>
    </row>
    <row r="710" spans="4:5" ht="12.75" x14ac:dyDescent="0.2">
      <c r="D710" s="12"/>
      <c r="E710" s="12"/>
    </row>
    <row r="711" spans="4:5" ht="12.75" x14ac:dyDescent="0.2">
      <c r="D711" s="12"/>
      <c r="E711" s="12"/>
    </row>
    <row r="712" spans="4:5" ht="12.75" x14ac:dyDescent="0.2">
      <c r="D712" s="12"/>
      <c r="E712" s="12"/>
    </row>
    <row r="713" spans="4:5" ht="12.75" x14ac:dyDescent="0.2">
      <c r="D713" s="12"/>
      <c r="E713" s="12"/>
    </row>
    <row r="714" spans="4:5" ht="12.75" x14ac:dyDescent="0.2">
      <c r="D714" s="12"/>
      <c r="E714" s="12"/>
    </row>
    <row r="715" spans="4:5" ht="12.75" x14ac:dyDescent="0.2">
      <c r="D715" s="12"/>
      <c r="E715" s="12"/>
    </row>
    <row r="716" spans="4:5" ht="12.75" x14ac:dyDescent="0.2">
      <c r="D716" s="12"/>
      <c r="E716" s="12"/>
    </row>
    <row r="717" spans="4:5" ht="12.75" x14ac:dyDescent="0.2">
      <c r="D717" s="12"/>
      <c r="E717" s="12"/>
    </row>
    <row r="718" spans="4:5" ht="12.75" x14ac:dyDescent="0.2">
      <c r="D718" s="12"/>
      <c r="E718" s="12"/>
    </row>
    <row r="719" spans="4:5" ht="12.75" x14ac:dyDescent="0.2">
      <c r="D719" s="12"/>
      <c r="E719" s="12"/>
    </row>
    <row r="720" spans="4:5" ht="12.75" x14ac:dyDescent="0.2">
      <c r="D720" s="12"/>
      <c r="E720" s="12"/>
    </row>
    <row r="721" spans="4:5" ht="12.75" x14ac:dyDescent="0.2">
      <c r="D721" s="12"/>
      <c r="E721" s="12"/>
    </row>
    <row r="722" spans="4:5" ht="12.75" x14ac:dyDescent="0.2">
      <c r="D722" s="12"/>
      <c r="E722" s="12"/>
    </row>
    <row r="723" spans="4:5" ht="12.75" x14ac:dyDescent="0.2">
      <c r="D723" s="12"/>
      <c r="E723" s="12"/>
    </row>
    <row r="724" spans="4:5" ht="12.75" x14ac:dyDescent="0.2">
      <c r="D724" s="12"/>
      <c r="E724" s="12"/>
    </row>
    <row r="725" spans="4:5" ht="12.75" x14ac:dyDescent="0.2">
      <c r="D725" s="12"/>
      <c r="E725" s="12"/>
    </row>
    <row r="726" spans="4:5" ht="12.75" x14ac:dyDescent="0.2">
      <c r="D726" s="12"/>
      <c r="E726" s="12"/>
    </row>
    <row r="727" spans="4:5" ht="12.75" x14ac:dyDescent="0.2">
      <c r="D727" s="12"/>
      <c r="E727" s="12"/>
    </row>
    <row r="728" spans="4:5" ht="12.75" x14ac:dyDescent="0.2">
      <c r="D728" s="12"/>
      <c r="E728" s="12"/>
    </row>
    <row r="729" spans="4:5" ht="12.75" x14ac:dyDescent="0.2">
      <c r="D729" s="12"/>
      <c r="E729" s="12"/>
    </row>
    <row r="730" spans="4:5" ht="12.75" x14ac:dyDescent="0.2">
      <c r="D730" s="12"/>
      <c r="E730" s="12"/>
    </row>
    <row r="731" spans="4:5" ht="12.75" x14ac:dyDescent="0.2">
      <c r="D731" s="12"/>
      <c r="E731" s="12"/>
    </row>
    <row r="732" spans="4:5" ht="12.75" x14ac:dyDescent="0.2">
      <c r="D732" s="12"/>
      <c r="E732" s="12"/>
    </row>
    <row r="733" spans="4:5" ht="12.75" x14ac:dyDescent="0.2">
      <c r="D733" s="12"/>
      <c r="E733" s="12"/>
    </row>
    <row r="734" spans="4:5" ht="12.75" x14ac:dyDescent="0.2">
      <c r="D734" s="12"/>
      <c r="E734" s="12"/>
    </row>
    <row r="735" spans="4:5" ht="12.75" x14ac:dyDescent="0.2">
      <c r="D735" s="12"/>
      <c r="E735" s="12"/>
    </row>
    <row r="736" spans="4:5" ht="12.75" x14ac:dyDescent="0.2">
      <c r="D736" s="12"/>
      <c r="E736" s="12"/>
    </row>
    <row r="737" spans="4:5" ht="12.75" x14ac:dyDescent="0.2">
      <c r="D737" s="12"/>
      <c r="E737" s="12"/>
    </row>
    <row r="738" spans="4:5" ht="12.75" x14ac:dyDescent="0.2">
      <c r="D738" s="12"/>
      <c r="E738" s="12"/>
    </row>
    <row r="739" spans="4:5" ht="12.75" x14ac:dyDescent="0.2">
      <c r="D739" s="12"/>
      <c r="E739" s="12"/>
    </row>
    <row r="740" spans="4:5" ht="12.75" x14ac:dyDescent="0.2">
      <c r="D740" s="12"/>
      <c r="E740" s="12"/>
    </row>
    <row r="741" spans="4:5" ht="12.75" x14ac:dyDescent="0.2">
      <c r="D741" s="12"/>
      <c r="E741" s="12"/>
    </row>
    <row r="742" spans="4:5" ht="12.75" x14ac:dyDescent="0.2">
      <c r="D742" s="12"/>
      <c r="E742" s="12"/>
    </row>
    <row r="743" spans="4:5" ht="12.75" x14ac:dyDescent="0.2">
      <c r="D743" s="12"/>
      <c r="E743" s="12"/>
    </row>
    <row r="744" spans="4:5" ht="12.75" x14ac:dyDescent="0.2">
      <c r="D744" s="12"/>
      <c r="E744" s="12"/>
    </row>
    <row r="745" spans="4:5" ht="12.75" x14ac:dyDescent="0.2">
      <c r="D745" s="12"/>
      <c r="E745" s="12"/>
    </row>
    <row r="746" spans="4:5" ht="12.75" x14ac:dyDescent="0.2">
      <c r="D746" s="12"/>
      <c r="E746" s="12"/>
    </row>
    <row r="747" spans="4:5" ht="12.75" x14ac:dyDescent="0.2">
      <c r="D747" s="12"/>
      <c r="E747" s="12"/>
    </row>
    <row r="748" spans="4:5" ht="12.75" x14ac:dyDescent="0.2">
      <c r="D748" s="12"/>
      <c r="E748" s="12"/>
    </row>
    <row r="749" spans="4:5" ht="12.75" x14ac:dyDescent="0.2">
      <c r="D749" s="12"/>
      <c r="E749" s="12"/>
    </row>
    <row r="750" spans="4:5" ht="12.75" x14ac:dyDescent="0.2">
      <c r="D750" s="12"/>
      <c r="E750" s="12"/>
    </row>
    <row r="751" spans="4:5" ht="12.75" x14ac:dyDescent="0.2">
      <c r="D751" s="12"/>
      <c r="E751" s="12"/>
    </row>
    <row r="752" spans="4:5" ht="12.75" x14ac:dyDescent="0.2">
      <c r="D752" s="12"/>
      <c r="E752" s="12"/>
    </row>
    <row r="753" spans="4:5" ht="12.75" x14ac:dyDescent="0.2">
      <c r="D753" s="12"/>
      <c r="E753" s="12"/>
    </row>
    <row r="754" spans="4:5" ht="12.75" x14ac:dyDescent="0.2">
      <c r="D754" s="12"/>
      <c r="E754" s="12"/>
    </row>
    <row r="755" spans="4:5" ht="12.75" x14ac:dyDescent="0.2">
      <c r="D755" s="12"/>
      <c r="E755" s="12"/>
    </row>
    <row r="756" spans="4:5" ht="12.75" x14ac:dyDescent="0.2">
      <c r="D756" s="12"/>
      <c r="E756" s="12"/>
    </row>
    <row r="757" spans="4:5" ht="12.75" x14ac:dyDescent="0.2">
      <c r="D757" s="12"/>
      <c r="E757" s="12"/>
    </row>
    <row r="758" spans="4:5" ht="12.75" x14ac:dyDescent="0.2">
      <c r="D758" s="12"/>
      <c r="E758" s="12"/>
    </row>
    <row r="759" spans="4:5" ht="12.75" x14ac:dyDescent="0.2">
      <c r="D759" s="12"/>
      <c r="E759" s="12"/>
    </row>
    <row r="760" spans="4:5" ht="12.75" x14ac:dyDescent="0.2">
      <c r="D760" s="12"/>
      <c r="E760" s="12"/>
    </row>
    <row r="761" spans="4:5" ht="12.75" x14ac:dyDescent="0.2">
      <c r="D761" s="12"/>
      <c r="E761" s="12"/>
    </row>
    <row r="762" spans="4:5" ht="12.75" x14ac:dyDescent="0.2">
      <c r="D762" s="12"/>
      <c r="E762" s="12"/>
    </row>
    <row r="763" spans="4:5" ht="12.75" x14ac:dyDescent="0.2">
      <c r="D763" s="12"/>
      <c r="E763" s="12"/>
    </row>
    <row r="764" spans="4:5" ht="12.75" x14ac:dyDescent="0.2">
      <c r="D764" s="12"/>
      <c r="E764" s="12"/>
    </row>
    <row r="765" spans="4:5" ht="12.75" x14ac:dyDescent="0.2">
      <c r="D765" s="12"/>
      <c r="E765" s="12"/>
    </row>
    <row r="766" spans="4:5" ht="12.75" x14ac:dyDescent="0.2">
      <c r="D766" s="12"/>
      <c r="E766" s="12"/>
    </row>
    <row r="767" spans="4:5" ht="12.75" x14ac:dyDescent="0.2">
      <c r="D767" s="12"/>
      <c r="E767" s="12"/>
    </row>
    <row r="768" spans="4:5" ht="12.75" x14ac:dyDescent="0.2">
      <c r="D768" s="12"/>
      <c r="E768" s="12"/>
    </row>
    <row r="769" spans="4:5" ht="12.75" x14ac:dyDescent="0.2">
      <c r="D769" s="12"/>
      <c r="E769" s="12"/>
    </row>
    <row r="770" spans="4:5" ht="12.75" x14ac:dyDescent="0.2">
      <c r="D770" s="12"/>
      <c r="E770" s="12"/>
    </row>
    <row r="771" spans="4:5" ht="12.75" x14ac:dyDescent="0.2">
      <c r="D771" s="12"/>
      <c r="E771" s="12"/>
    </row>
    <row r="772" spans="4:5" ht="12.75" x14ac:dyDescent="0.2">
      <c r="D772" s="12"/>
      <c r="E772" s="12"/>
    </row>
    <row r="773" spans="4:5" ht="12.75" x14ac:dyDescent="0.2">
      <c r="D773" s="12"/>
      <c r="E773" s="12"/>
    </row>
    <row r="774" spans="4:5" ht="12.75" x14ac:dyDescent="0.2">
      <c r="D774" s="12"/>
      <c r="E774" s="12"/>
    </row>
    <row r="775" spans="4:5" ht="12.75" x14ac:dyDescent="0.2">
      <c r="D775" s="12"/>
      <c r="E775" s="12"/>
    </row>
    <row r="776" spans="4:5" ht="12.75" x14ac:dyDescent="0.2">
      <c r="D776" s="12"/>
      <c r="E776" s="12"/>
    </row>
    <row r="777" spans="4:5" ht="12.75" x14ac:dyDescent="0.2">
      <c r="D777" s="12"/>
      <c r="E777" s="12"/>
    </row>
    <row r="778" spans="4:5" ht="12.75" x14ac:dyDescent="0.2">
      <c r="D778" s="12"/>
      <c r="E778" s="12"/>
    </row>
    <row r="779" spans="4:5" ht="12.75" x14ac:dyDescent="0.2">
      <c r="D779" s="12"/>
      <c r="E779" s="12"/>
    </row>
    <row r="780" spans="4:5" ht="12.75" x14ac:dyDescent="0.2">
      <c r="D780" s="12"/>
      <c r="E780" s="12"/>
    </row>
    <row r="781" spans="4:5" ht="12.75" x14ac:dyDescent="0.2">
      <c r="D781" s="12"/>
      <c r="E781" s="12"/>
    </row>
    <row r="782" spans="4:5" ht="12.75" x14ac:dyDescent="0.2">
      <c r="D782" s="12"/>
      <c r="E782" s="12"/>
    </row>
    <row r="783" spans="4:5" ht="12.75" x14ac:dyDescent="0.2">
      <c r="D783" s="12"/>
      <c r="E783" s="12"/>
    </row>
    <row r="784" spans="4:5" ht="12.75" x14ac:dyDescent="0.2">
      <c r="D784" s="12"/>
      <c r="E784" s="12"/>
    </row>
    <row r="785" spans="4:5" ht="12.75" x14ac:dyDescent="0.2">
      <c r="D785" s="12"/>
      <c r="E785" s="12"/>
    </row>
    <row r="786" spans="4:5" ht="12.75" x14ac:dyDescent="0.2">
      <c r="D786" s="12"/>
      <c r="E786" s="12"/>
    </row>
    <row r="787" spans="4:5" ht="12.75" x14ac:dyDescent="0.2">
      <c r="D787" s="12"/>
      <c r="E787" s="12"/>
    </row>
    <row r="788" spans="4:5" ht="12.75" x14ac:dyDescent="0.2">
      <c r="D788" s="12"/>
      <c r="E788" s="12"/>
    </row>
    <row r="789" spans="4:5" ht="12.75" x14ac:dyDescent="0.2">
      <c r="D789" s="12"/>
      <c r="E789" s="12"/>
    </row>
    <row r="790" spans="4:5" ht="12.75" x14ac:dyDescent="0.2">
      <c r="D790" s="12"/>
      <c r="E790" s="12"/>
    </row>
    <row r="791" spans="4:5" ht="12.75" x14ac:dyDescent="0.2">
      <c r="D791" s="12"/>
      <c r="E791" s="12"/>
    </row>
    <row r="792" spans="4:5" ht="12.75" x14ac:dyDescent="0.2">
      <c r="D792" s="12"/>
      <c r="E792" s="12"/>
    </row>
    <row r="793" spans="4:5" ht="12.75" x14ac:dyDescent="0.2">
      <c r="D793" s="12"/>
      <c r="E793" s="12"/>
    </row>
    <row r="794" spans="4:5" ht="12.75" x14ac:dyDescent="0.2">
      <c r="D794" s="12"/>
      <c r="E794" s="12"/>
    </row>
    <row r="795" spans="4:5" ht="12.75" x14ac:dyDescent="0.2">
      <c r="D795" s="12"/>
      <c r="E795" s="12"/>
    </row>
    <row r="796" spans="4:5" ht="12.75" x14ac:dyDescent="0.2">
      <c r="D796" s="12"/>
      <c r="E796" s="12"/>
    </row>
    <row r="797" spans="4:5" ht="12.75" x14ac:dyDescent="0.2">
      <c r="D797" s="12"/>
      <c r="E797" s="12"/>
    </row>
    <row r="798" spans="4:5" ht="12.75" x14ac:dyDescent="0.2">
      <c r="D798" s="12"/>
      <c r="E798" s="12"/>
    </row>
    <row r="799" spans="4:5" ht="12.75" x14ac:dyDescent="0.2">
      <c r="D799" s="12"/>
      <c r="E799" s="12"/>
    </row>
    <row r="800" spans="4:5" ht="12.75" x14ac:dyDescent="0.2">
      <c r="D800" s="12"/>
      <c r="E800" s="12"/>
    </row>
    <row r="801" spans="4:5" ht="12.75" x14ac:dyDescent="0.2">
      <c r="D801" s="12"/>
      <c r="E801" s="12"/>
    </row>
    <row r="802" spans="4:5" ht="12.75" x14ac:dyDescent="0.2">
      <c r="D802" s="12"/>
      <c r="E802" s="12"/>
    </row>
    <row r="803" spans="4:5" ht="12.75" x14ac:dyDescent="0.2">
      <c r="D803" s="12"/>
      <c r="E803" s="12"/>
    </row>
    <row r="804" spans="4:5" ht="12.75" x14ac:dyDescent="0.2">
      <c r="D804" s="12"/>
      <c r="E804" s="12"/>
    </row>
    <row r="805" spans="4:5" ht="12.75" x14ac:dyDescent="0.2">
      <c r="D805" s="12"/>
      <c r="E805" s="12"/>
    </row>
    <row r="806" spans="4:5" ht="12.75" x14ac:dyDescent="0.2">
      <c r="D806" s="12"/>
      <c r="E806" s="12"/>
    </row>
    <row r="807" spans="4:5" ht="12.75" x14ac:dyDescent="0.2">
      <c r="D807" s="12"/>
      <c r="E807" s="12"/>
    </row>
    <row r="808" spans="4:5" ht="12.75" x14ac:dyDescent="0.2">
      <c r="D808" s="12"/>
      <c r="E808" s="12"/>
    </row>
    <row r="809" spans="4:5" ht="12.75" x14ac:dyDescent="0.2">
      <c r="D809" s="12"/>
      <c r="E809" s="12"/>
    </row>
    <row r="810" spans="4:5" ht="12.75" x14ac:dyDescent="0.2">
      <c r="D810" s="12"/>
      <c r="E810" s="12"/>
    </row>
    <row r="811" spans="4:5" ht="12.75" x14ac:dyDescent="0.2">
      <c r="D811" s="12"/>
      <c r="E811" s="12"/>
    </row>
    <row r="812" spans="4:5" ht="12.75" x14ac:dyDescent="0.2">
      <c r="D812" s="12"/>
      <c r="E812" s="12"/>
    </row>
    <row r="813" spans="4:5" ht="12.75" x14ac:dyDescent="0.2">
      <c r="D813" s="12"/>
      <c r="E813" s="12"/>
    </row>
    <row r="814" spans="4:5" ht="12.75" x14ac:dyDescent="0.2">
      <c r="D814" s="12"/>
      <c r="E814" s="12"/>
    </row>
    <row r="815" spans="4:5" ht="12.75" x14ac:dyDescent="0.2">
      <c r="D815" s="12"/>
      <c r="E815" s="12"/>
    </row>
    <row r="816" spans="4:5" ht="12.75" x14ac:dyDescent="0.2">
      <c r="D816" s="12"/>
      <c r="E816" s="12"/>
    </row>
    <row r="817" spans="4:5" ht="12.75" x14ac:dyDescent="0.2">
      <c r="D817" s="12"/>
      <c r="E817" s="12"/>
    </row>
    <row r="818" spans="4:5" ht="12.75" x14ac:dyDescent="0.2">
      <c r="D818" s="12"/>
      <c r="E818" s="12"/>
    </row>
    <row r="819" spans="4:5" ht="12.75" x14ac:dyDescent="0.2">
      <c r="D819" s="12"/>
      <c r="E819" s="12"/>
    </row>
    <row r="820" spans="4:5" ht="12.75" x14ac:dyDescent="0.2">
      <c r="D820" s="12"/>
      <c r="E820" s="12"/>
    </row>
    <row r="821" spans="4:5" ht="12.75" x14ac:dyDescent="0.2">
      <c r="D821" s="12"/>
      <c r="E821" s="12"/>
    </row>
    <row r="822" spans="4:5" ht="12.75" x14ac:dyDescent="0.2">
      <c r="D822" s="12"/>
      <c r="E822" s="12"/>
    </row>
    <row r="823" spans="4:5" ht="12.75" x14ac:dyDescent="0.2">
      <c r="D823" s="12"/>
      <c r="E823" s="12"/>
    </row>
    <row r="824" spans="4:5" ht="12.75" x14ac:dyDescent="0.2">
      <c r="D824" s="12"/>
      <c r="E824" s="12"/>
    </row>
    <row r="825" spans="4:5" ht="12.75" x14ac:dyDescent="0.2">
      <c r="D825" s="12"/>
      <c r="E825" s="12"/>
    </row>
    <row r="826" spans="4:5" ht="12.75" x14ac:dyDescent="0.2">
      <c r="D826" s="12"/>
      <c r="E826" s="12"/>
    </row>
    <row r="827" spans="4:5" ht="12.75" x14ac:dyDescent="0.2">
      <c r="D827" s="12"/>
      <c r="E827" s="12"/>
    </row>
    <row r="828" spans="4:5" ht="12.75" x14ac:dyDescent="0.2">
      <c r="D828" s="12"/>
      <c r="E828" s="12"/>
    </row>
    <row r="829" spans="4:5" ht="12.75" x14ac:dyDescent="0.2">
      <c r="D829" s="12"/>
      <c r="E829" s="12"/>
    </row>
    <row r="830" spans="4:5" ht="12.75" x14ac:dyDescent="0.2">
      <c r="D830" s="12"/>
      <c r="E830" s="12"/>
    </row>
    <row r="831" spans="4:5" ht="12.75" x14ac:dyDescent="0.2">
      <c r="D831" s="12"/>
      <c r="E831" s="12"/>
    </row>
    <row r="832" spans="4:5" ht="12.75" x14ac:dyDescent="0.2">
      <c r="D832" s="12"/>
      <c r="E832" s="12"/>
    </row>
    <row r="833" spans="4:5" ht="12.75" x14ac:dyDescent="0.2">
      <c r="D833" s="12"/>
      <c r="E833" s="12"/>
    </row>
    <row r="834" spans="4:5" ht="12.75" x14ac:dyDescent="0.2">
      <c r="D834" s="12"/>
      <c r="E834" s="12"/>
    </row>
    <row r="835" spans="4:5" ht="12.75" x14ac:dyDescent="0.2">
      <c r="D835" s="12"/>
      <c r="E835" s="12"/>
    </row>
    <row r="836" spans="4:5" ht="12.75" x14ac:dyDescent="0.2">
      <c r="D836" s="12"/>
      <c r="E836" s="12"/>
    </row>
    <row r="837" spans="4:5" ht="12.75" x14ac:dyDescent="0.2">
      <c r="D837" s="12"/>
      <c r="E837" s="12"/>
    </row>
    <row r="838" spans="4:5" ht="12.75" x14ac:dyDescent="0.2">
      <c r="D838" s="12"/>
      <c r="E838" s="12"/>
    </row>
    <row r="839" spans="4:5" ht="12.75" x14ac:dyDescent="0.2">
      <c r="D839" s="12"/>
      <c r="E839" s="12"/>
    </row>
    <row r="840" spans="4:5" ht="12.75" x14ac:dyDescent="0.2">
      <c r="D840" s="12"/>
      <c r="E840" s="12"/>
    </row>
    <row r="841" spans="4:5" ht="12.75" x14ac:dyDescent="0.2">
      <c r="D841" s="12"/>
      <c r="E841" s="12"/>
    </row>
    <row r="842" spans="4:5" ht="12.75" x14ac:dyDescent="0.2">
      <c r="D842" s="12"/>
      <c r="E842" s="12"/>
    </row>
    <row r="843" spans="4:5" ht="12.75" x14ac:dyDescent="0.2">
      <c r="D843" s="12"/>
      <c r="E843" s="12"/>
    </row>
    <row r="844" spans="4:5" ht="12.75" x14ac:dyDescent="0.2">
      <c r="D844" s="12"/>
      <c r="E844" s="12"/>
    </row>
    <row r="845" spans="4:5" ht="12.75" x14ac:dyDescent="0.2">
      <c r="D845" s="12"/>
      <c r="E845" s="12"/>
    </row>
    <row r="846" spans="4:5" ht="12.75" x14ac:dyDescent="0.2">
      <c r="D846" s="12"/>
      <c r="E846" s="12"/>
    </row>
    <row r="847" spans="4:5" ht="12.75" x14ac:dyDescent="0.2">
      <c r="D847" s="12"/>
      <c r="E847" s="12"/>
    </row>
    <row r="848" spans="4:5" ht="12.75" x14ac:dyDescent="0.2">
      <c r="D848" s="12"/>
      <c r="E848" s="12"/>
    </row>
    <row r="849" spans="4:5" ht="12.75" x14ac:dyDescent="0.2">
      <c r="D849" s="12"/>
      <c r="E849" s="12"/>
    </row>
    <row r="850" spans="4:5" ht="12.75" x14ac:dyDescent="0.2">
      <c r="D850" s="12"/>
      <c r="E850" s="12"/>
    </row>
    <row r="851" spans="4:5" ht="12.75" x14ac:dyDescent="0.2">
      <c r="D851" s="12"/>
      <c r="E851" s="12"/>
    </row>
    <row r="852" spans="4:5" ht="12.75" x14ac:dyDescent="0.2">
      <c r="D852" s="12"/>
      <c r="E852" s="12"/>
    </row>
    <row r="853" spans="4:5" ht="12.75" x14ac:dyDescent="0.2">
      <c r="D853" s="12"/>
      <c r="E853" s="12"/>
    </row>
    <row r="854" spans="4:5" ht="12.75" x14ac:dyDescent="0.2">
      <c r="D854" s="12"/>
      <c r="E854" s="12"/>
    </row>
    <row r="855" spans="4:5" ht="12.75" x14ac:dyDescent="0.2">
      <c r="D855" s="12"/>
      <c r="E855" s="12"/>
    </row>
    <row r="856" spans="4:5" ht="12.75" x14ac:dyDescent="0.2">
      <c r="D856" s="12"/>
      <c r="E856" s="12"/>
    </row>
    <row r="857" spans="4:5" ht="12.75" x14ac:dyDescent="0.2">
      <c r="D857" s="12"/>
      <c r="E857" s="12"/>
    </row>
    <row r="858" spans="4:5" ht="12.75" x14ac:dyDescent="0.2">
      <c r="D858" s="12"/>
      <c r="E858" s="12"/>
    </row>
    <row r="859" spans="4:5" ht="12.75" x14ac:dyDescent="0.2">
      <c r="D859" s="12"/>
      <c r="E859" s="12"/>
    </row>
    <row r="860" spans="4:5" ht="12.75" x14ac:dyDescent="0.2">
      <c r="D860" s="12"/>
      <c r="E860" s="12"/>
    </row>
    <row r="861" spans="4:5" ht="12.75" x14ac:dyDescent="0.2">
      <c r="D861" s="12"/>
      <c r="E861" s="12"/>
    </row>
    <row r="862" spans="4:5" ht="12.75" x14ac:dyDescent="0.2">
      <c r="D862" s="12"/>
      <c r="E862" s="12"/>
    </row>
    <row r="863" spans="4:5" ht="12.75" x14ac:dyDescent="0.2">
      <c r="D863" s="12"/>
      <c r="E863" s="12"/>
    </row>
    <row r="864" spans="4:5" ht="12.75" x14ac:dyDescent="0.2">
      <c r="D864" s="12"/>
      <c r="E864" s="12"/>
    </row>
    <row r="865" spans="4:5" ht="12.75" x14ac:dyDescent="0.2">
      <c r="D865" s="12"/>
      <c r="E865" s="12"/>
    </row>
    <row r="866" spans="4:5" ht="12.75" x14ac:dyDescent="0.2">
      <c r="D866" s="12"/>
      <c r="E866" s="12"/>
    </row>
    <row r="867" spans="4:5" ht="12.75" x14ac:dyDescent="0.2">
      <c r="D867" s="12"/>
      <c r="E867" s="12"/>
    </row>
    <row r="868" spans="4:5" ht="12.75" x14ac:dyDescent="0.2">
      <c r="D868" s="12"/>
      <c r="E868" s="12"/>
    </row>
    <row r="869" spans="4:5" ht="12.75" x14ac:dyDescent="0.2">
      <c r="D869" s="12"/>
      <c r="E869" s="12"/>
    </row>
    <row r="870" spans="4:5" ht="12.75" x14ac:dyDescent="0.2">
      <c r="D870" s="12"/>
      <c r="E870" s="12"/>
    </row>
    <row r="871" spans="4:5" ht="12.75" x14ac:dyDescent="0.2">
      <c r="D871" s="12"/>
      <c r="E871" s="12"/>
    </row>
    <row r="872" spans="4:5" ht="12.75" x14ac:dyDescent="0.2">
      <c r="D872" s="12"/>
      <c r="E872" s="12"/>
    </row>
    <row r="873" spans="4:5" ht="12.75" x14ac:dyDescent="0.2">
      <c r="D873" s="12"/>
      <c r="E873" s="12"/>
    </row>
    <row r="874" spans="4:5" ht="12.75" x14ac:dyDescent="0.2">
      <c r="D874" s="12"/>
      <c r="E874" s="12"/>
    </row>
    <row r="875" spans="4:5" ht="12.75" x14ac:dyDescent="0.2">
      <c r="D875" s="12"/>
      <c r="E875" s="12"/>
    </row>
    <row r="876" spans="4:5" ht="12.75" x14ac:dyDescent="0.2">
      <c r="D876" s="12"/>
      <c r="E876" s="12"/>
    </row>
    <row r="877" spans="4:5" ht="12.75" x14ac:dyDescent="0.2">
      <c r="D877" s="12"/>
      <c r="E877" s="12"/>
    </row>
    <row r="878" spans="4:5" ht="12.75" x14ac:dyDescent="0.2">
      <c r="D878" s="12"/>
      <c r="E878" s="12"/>
    </row>
    <row r="879" spans="4:5" ht="12.75" x14ac:dyDescent="0.2">
      <c r="D879" s="12"/>
      <c r="E879" s="12"/>
    </row>
    <row r="880" spans="4:5" ht="12.75" x14ac:dyDescent="0.2">
      <c r="D880" s="12"/>
      <c r="E880" s="12"/>
    </row>
    <row r="881" spans="4:5" ht="12.75" x14ac:dyDescent="0.2">
      <c r="D881" s="12"/>
      <c r="E881" s="12"/>
    </row>
    <row r="882" spans="4:5" ht="12.75" x14ac:dyDescent="0.2">
      <c r="D882" s="12"/>
      <c r="E882" s="12"/>
    </row>
    <row r="883" spans="4:5" ht="12.75" x14ac:dyDescent="0.2">
      <c r="D883" s="12"/>
      <c r="E883" s="12"/>
    </row>
    <row r="884" spans="4:5" ht="12.75" x14ac:dyDescent="0.2">
      <c r="D884" s="12"/>
      <c r="E884" s="12"/>
    </row>
    <row r="885" spans="4:5" ht="12.75" x14ac:dyDescent="0.2">
      <c r="D885" s="12"/>
      <c r="E885" s="12"/>
    </row>
    <row r="886" spans="4:5" ht="12.75" x14ac:dyDescent="0.2">
      <c r="D886" s="12"/>
      <c r="E886" s="12"/>
    </row>
    <row r="887" spans="4:5" ht="12.75" x14ac:dyDescent="0.2">
      <c r="D887" s="12"/>
      <c r="E887" s="12"/>
    </row>
    <row r="888" spans="4:5" ht="12.75" x14ac:dyDescent="0.2">
      <c r="D888" s="12"/>
      <c r="E888" s="12"/>
    </row>
    <row r="889" spans="4:5" ht="12.75" x14ac:dyDescent="0.2">
      <c r="D889" s="12"/>
      <c r="E889" s="12"/>
    </row>
    <row r="890" spans="4:5" ht="12.75" x14ac:dyDescent="0.2">
      <c r="D890" s="12"/>
      <c r="E890" s="12"/>
    </row>
    <row r="891" spans="4:5" ht="12.75" x14ac:dyDescent="0.2">
      <c r="D891" s="12"/>
      <c r="E891" s="12"/>
    </row>
    <row r="892" spans="4:5" ht="12.75" x14ac:dyDescent="0.2">
      <c r="D892" s="12"/>
      <c r="E892" s="12"/>
    </row>
    <row r="893" spans="4:5" ht="12.75" x14ac:dyDescent="0.2">
      <c r="D893" s="12"/>
      <c r="E893" s="12"/>
    </row>
    <row r="894" spans="4:5" ht="12.75" x14ac:dyDescent="0.2">
      <c r="D894" s="12"/>
      <c r="E894" s="12"/>
    </row>
    <row r="895" spans="4:5" ht="12.75" x14ac:dyDescent="0.2">
      <c r="D895" s="12"/>
      <c r="E895" s="12"/>
    </row>
    <row r="896" spans="4:5" ht="12.75" x14ac:dyDescent="0.2">
      <c r="D896" s="12"/>
      <c r="E896" s="12"/>
    </row>
    <row r="897" spans="4:5" ht="12.75" x14ac:dyDescent="0.2">
      <c r="D897" s="12"/>
      <c r="E897" s="12"/>
    </row>
    <row r="898" spans="4:5" ht="12.75" x14ac:dyDescent="0.2">
      <c r="D898" s="12"/>
      <c r="E898" s="12"/>
    </row>
    <row r="899" spans="4:5" ht="12.75" x14ac:dyDescent="0.2">
      <c r="D899" s="12"/>
      <c r="E899" s="12"/>
    </row>
    <row r="900" spans="4:5" ht="12.75" x14ac:dyDescent="0.2">
      <c r="D900" s="12"/>
      <c r="E900" s="12"/>
    </row>
    <row r="901" spans="4:5" ht="12.75" x14ac:dyDescent="0.2">
      <c r="D901" s="12"/>
      <c r="E901" s="12"/>
    </row>
    <row r="902" spans="4:5" ht="12.75" x14ac:dyDescent="0.2">
      <c r="D902" s="12"/>
      <c r="E902" s="12"/>
    </row>
    <row r="903" spans="4:5" ht="12.75" x14ac:dyDescent="0.2">
      <c r="D903" s="12"/>
      <c r="E903" s="12"/>
    </row>
    <row r="904" spans="4:5" ht="12.75" x14ac:dyDescent="0.2">
      <c r="D904" s="12"/>
      <c r="E904" s="12"/>
    </row>
    <row r="905" spans="4:5" ht="12.75" x14ac:dyDescent="0.2">
      <c r="D905" s="12"/>
      <c r="E905" s="12"/>
    </row>
    <row r="906" spans="4:5" ht="12.75" x14ac:dyDescent="0.2">
      <c r="D906" s="12"/>
      <c r="E906" s="12"/>
    </row>
    <row r="907" spans="4:5" ht="12.75" x14ac:dyDescent="0.2">
      <c r="D907" s="12"/>
      <c r="E907" s="12"/>
    </row>
    <row r="908" spans="4:5" ht="12.75" x14ac:dyDescent="0.2">
      <c r="D908" s="12"/>
      <c r="E908" s="12"/>
    </row>
    <row r="909" spans="4:5" ht="12.75" x14ac:dyDescent="0.2">
      <c r="D909" s="12"/>
      <c r="E909" s="12"/>
    </row>
    <row r="910" spans="4:5" ht="12.75" x14ac:dyDescent="0.2">
      <c r="D910" s="12"/>
      <c r="E910" s="12"/>
    </row>
    <row r="911" spans="4:5" ht="12.75" x14ac:dyDescent="0.2">
      <c r="D911" s="12"/>
      <c r="E911" s="12"/>
    </row>
    <row r="912" spans="4:5" ht="12.75" x14ac:dyDescent="0.2">
      <c r="D912" s="12"/>
      <c r="E912" s="12"/>
    </row>
    <row r="913" spans="4:5" ht="12.75" x14ac:dyDescent="0.2">
      <c r="D913" s="12"/>
      <c r="E913" s="12"/>
    </row>
    <row r="914" spans="4:5" ht="12.75" x14ac:dyDescent="0.2">
      <c r="D914" s="12"/>
      <c r="E914" s="12"/>
    </row>
    <row r="915" spans="4:5" ht="12.75" x14ac:dyDescent="0.2">
      <c r="D915" s="12"/>
      <c r="E915" s="12"/>
    </row>
    <row r="916" spans="4:5" ht="12.75" x14ac:dyDescent="0.2">
      <c r="D916" s="12"/>
      <c r="E916" s="12"/>
    </row>
    <row r="917" spans="4:5" ht="12.75" x14ac:dyDescent="0.2">
      <c r="D917" s="12"/>
      <c r="E917" s="12"/>
    </row>
    <row r="918" spans="4:5" ht="12.75" x14ac:dyDescent="0.2">
      <c r="D918" s="12"/>
      <c r="E918" s="12"/>
    </row>
    <row r="919" spans="4:5" ht="12.75" x14ac:dyDescent="0.2">
      <c r="D919" s="12"/>
      <c r="E919" s="12"/>
    </row>
    <row r="920" spans="4:5" ht="12.75" x14ac:dyDescent="0.2">
      <c r="D920" s="12"/>
      <c r="E920" s="12"/>
    </row>
    <row r="921" spans="4:5" ht="12.75" x14ac:dyDescent="0.2">
      <c r="D921" s="12"/>
      <c r="E921" s="12"/>
    </row>
    <row r="922" spans="4:5" ht="12.75" x14ac:dyDescent="0.2">
      <c r="D922" s="12"/>
      <c r="E922" s="12"/>
    </row>
    <row r="923" spans="4:5" ht="12.75" x14ac:dyDescent="0.2">
      <c r="D923" s="12"/>
      <c r="E923" s="12"/>
    </row>
    <row r="924" spans="4:5" ht="12.75" x14ac:dyDescent="0.2">
      <c r="D924" s="12"/>
      <c r="E924" s="12"/>
    </row>
    <row r="925" spans="4:5" ht="12.75" x14ac:dyDescent="0.2">
      <c r="D925" s="12"/>
      <c r="E925" s="12"/>
    </row>
    <row r="926" spans="4:5" ht="12.75" x14ac:dyDescent="0.2">
      <c r="D926" s="12"/>
      <c r="E926" s="12"/>
    </row>
    <row r="927" spans="4:5" ht="12.75" x14ac:dyDescent="0.2">
      <c r="D927" s="12"/>
      <c r="E927" s="12"/>
    </row>
    <row r="928" spans="4:5" ht="12.75" x14ac:dyDescent="0.2">
      <c r="D928" s="12"/>
      <c r="E928" s="12"/>
    </row>
    <row r="929" spans="4:5" ht="12.75" x14ac:dyDescent="0.2">
      <c r="D929" s="12"/>
      <c r="E929" s="12"/>
    </row>
    <row r="930" spans="4:5" ht="12.75" x14ac:dyDescent="0.2">
      <c r="D930" s="12"/>
      <c r="E930" s="12"/>
    </row>
    <row r="931" spans="4:5" ht="12.75" x14ac:dyDescent="0.2">
      <c r="D931" s="12"/>
      <c r="E931" s="12"/>
    </row>
    <row r="932" spans="4:5" ht="12.75" x14ac:dyDescent="0.2">
      <c r="D932" s="12"/>
      <c r="E932" s="12"/>
    </row>
    <row r="933" spans="4:5" ht="12.75" x14ac:dyDescent="0.2">
      <c r="D933" s="12"/>
      <c r="E933" s="12"/>
    </row>
    <row r="934" spans="4:5" ht="12.75" x14ac:dyDescent="0.2">
      <c r="D934" s="12"/>
      <c r="E934" s="12"/>
    </row>
    <row r="935" spans="4:5" ht="12.75" x14ac:dyDescent="0.2">
      <c r="D935" s="12"/>
      <c r="E935" s="12"/>
    </row>
    <row r="936" spans="4:5" ht="12.75" x14ac:dyDescent="0.2">
      <c r="D936" s="12"/>
      <c r="E936" s="12"/>
    </row>
    <row r="937" spans="4:5" ht="12.75" x14ac:dyDescent="0.2">
      <c r="D937" s="12"/>
      <c r="E937" s="12"/>
    </row>
    <row r="938" spans="4:5" ht="12.75" x14ac:dyDescent="0.2">
      <c r="D938" s="12"/>
      <c r="E938" s="12"/>
    </row>
    <row r="939" spans="4:5" ht="12.75" x14ac:dyDescent="0.2">
      <c r="D939" s="12"/>
      <c r="E939" s="12"/>
    </row>
    <row r="940" spans="4:5" ht="12.75" x14ac:dyDescent="0.2">
      <c r="D940" s="12"/>
      <c r="E940" s="12"/>
    </row>
    <row r="941" spans="4:5" ht="12.75" x14ac:dyDescent="0.2">
      <c r="D941" s="12"/>
      <c r="E941" s="12"/>
    </row>
    <row r="942" spans="4:5" ht="12.75" x14ac:dyDescent="0.2">
      <c r="D942" s="12"/>
      <c r="E942" s="12"/>
    </row>
    <row r="943" spans="4:5" ht="12.75" x14ac:dyDescent="0.2">
      <c r="D943" s="12"/>
      <c r="E943" s="12"/>
    </row>
    <row r="944" spans="4:5" ht="12.75" x14ac:dyDescent="0.2">
      <c r="D944" s="12"/>
      <c r="E944" s="12"/>
    </row>
    <row r="945" spans="4:5" ht="12.75" x14ac:dyDescent="0.2">
      <c r="D945" s="12"/>
      <c r="E945" s="12"/>
    </row>
    <row r="946" spans="4:5" ht="12.75" x14ac:dyDescent="0.2">
      <c r="D946" s="12"/>
      <c r="E946" s="12"/>
    </row>
    <row r="947" spans="4:5" ht="12.75" x14ac:dyDescent="0.2">
      <c r="D947" s="12"/>
      <c r="E947" s="12"/>
    </row>
    <row r="948" spans="4:5" ht="12.75" x14ac:dyDescent="0.2">
      <c r="D948" s="12"/>
      <c r="E948" s="12"/>
    </row>
    <row r="949" spans="4:5" ht="12.75" x14ac:dyDescent="0.2">
      <c r="D949" s="12"/>
      <c r="E949" s="12"/>
    </row>
    <row r="950" spans="4:5" ht="12.75" x14ac:dyDescent="0.2">
      <c r="D950" s="12"/>
      <c r="E950" s="12"/>
    </row>
    <row r="951" spans="4:5" ht="12.75" x14ac:dyDescent="0.2">
      <c r="D951" s="12"/>
      <c r="E951" s="12"/>
    </row>
    <row r="952" spans="4:5" ht="12.75" x14ac:dyDescent="0.2">
      <c r="D952" s="12"/>
      <c r="E952" s="12"/>
    </row>
    <row r="953" spans="4:5" ht="12.75" x14ac:dyDescent="0.2">
      <c r="D953" s="12"/>
      <c r="E953" s="12"/>
    </row>
    <row r="954" spans="4:5" ht="12.75" x14ac:dyDescent="0.2">
      <c r="D954" s="12"/>
      <c r="E954" s="12"/>
    </row>
    <row r="955" spans="4:5" ht="12.75" x14ac:dyDescent="0.2">
      <c r="D955" s="12"/>
      <c r="E955" s="12"/>
    </row>
    <row r="956" spans="4:5" ht="12.75" x14ac:dyDescent="0.2">
      <c r="D956" s="12"/>
      <c r="E956" s="12"/>
    </row>
    <row r="957" spans="4:5" ht="12.75" x14ac:dyDescent="0.2">
      <c r="D957" s="12"/>
      <c r="E957" s="12"/>
    </row>
    <row r="958" spans="4:5" ht="12.75" x14ac:dyDescent="0.2">
      <c r="D958" s="12"/>
      <c r="E958" s="12"/>
    </row>
    <row r="959" spans="4:5" ht="12.75" x14ac:dyDescent="0.2">
      <c r="D959" s="12"/>
      <c r="E959" s="12"/>
    </row>
    <row r="960" spans="4:5" ht="12.75" x14ac:dyDescent="0.2">
      <c r="D960" s="12"/>
      <c r="E960" s="12"/>
    </row>
    <row r="961" spans="4:5" ht="12.75" x14ac:dyDescent="0.2">
      <c r="D961" s="12"/>
      <c r="E961" s="12"/>
    </row>
    <row r="962" spans="4:5" ht="12.75" x14ac:dyDescent="0.2">
      <c r="D962" s="12"/>
      <c r="E962" s="12"/>
    </row>
    <row r="963" spans="4:5" ht="12.75" x14ac:dyDescent="0.2">
      <c r="D963" s="12"/>
      <c r="E963" s="12"/>
    </row>
    <row r="964" spans="4:5" ht="12.75" x14ac:dyDescent="0.2">
      <c r="D964" s="12"/>
      <c r="E964" s="12"/>
    </row>
    <row r="965" spans="4:5" ht="12.75" x14ac:dyDescent="0.2">
      <c r="D965" s="12"/>
      <c r="E965" s="12"/>
    </row>
    <row r="966" spans="4:5" ht="12.75" x14ac:dyDescent="0.2">
      <c r="D966" s="12"/>
      <c r="E966" s="12"/>
    </row>
    <row r="967" spans="4:5" ht="12.75" x14ac:dyDescent="0.2">
      <c r="D967" s="12"/>
      <c r="E967" s="12"/>
    </row>
    <row r="968" spans="4:5" ht="12.75" x14ac:dyDescent="0.2">
      <c r="D968" s="12"/>
      <c r="E968" s="12"/>
    </row>
    <row r="969" spans="4:5" ht="12.75" x14ac:dyDescent="0.2">
      <c r="D969" s="12"/>
      <c r="E969" s="12"/>
    </row>
    <row r="970" spans="4:5" ht="12.75" x14ac:dyDescent="0.2">
      <c r="D970" s="12"/>
      <c r="E970" s="12"/>
    </row>
    <row r="971" spans="4:5" ht="12.75" x14ac:dyDescent="0.2">
      <c r="D971" s="12"/>
      <c r="E971" s="12"/>
    </row>
    <row r="972" spans="4:5" ht="12.75" x14ac:dyDescent="0.2">
      <c r="D972" s="12"/>
      <c r="E972" s="12"/>
    </row>
    <row r="973" spans="4:5" ht="12.75" x14ac:dyDescent="0.2">
      <c r="D973" s="12"/>
      <c r="E973" s="12"/>
    </row>
    <row r="974" spans="4:5" ht="12.75" x14ac:dyDescent="0.2">
      <c r="D974" s="12"/>
      <c r="E974" s="12"/>
    </row>
    <row r="975" spans="4:5" ht="12.75" x14ac:dyDescent="0.2">
      <c r="D975" s="12"/>
      <c r="E975" s="12"/>
    </row>
    <row r="976" spans="4:5" ht="12.75" x14ac:dyDescent="0.2">
      <c r="D976" s="12"/>
      <c r="E976" s="12"/>
    </row>
    <row r="977" spans="4:5" ht="12.75" x14ac:dyDescent="0.2">
      <c r="D977" s="12"/>
      <c r="E977" s="12"/>
    </row>
    <row r="978" spans="4:5" ht="12.75" x14ac:dyDescent="0.2">
      <c r="D978" s="12"/>
      <c r="E978" s="12"/>
    </row>
    <row r="979" spans="4:5" ht="12.75" x14ac:dyDescent="0.2">
      <c r="D979" s="12"/>
      <c r="E979" s="12"/>
    </row>
    <row r="980" spans="4:5" ht="12.75" x14ac:dyDescent="0.2">
      <c r="D980" s="12"/>
      <c r="E980" s="12"/>
    </row>
    <row r="981" spans="4:5" ht="12.75" x14ac:dyDescent="0.2">
      <c r="D981" s="12"/>
      <c r="E981" s="12"/>
    </row>
    <row r="982" spans="4:5" ht="12.75" x14ac:dyDescent="0.2">
      <c r="D982" s="12"/>
      <c r="E982" s="12"/>
    </row>
    <row r="983" spans="4:5" ht="12.75" x14ac:dyDescent="0.2">
      <c r="D983" s="12"/>
      <c r="E983" s="12"/>
    </row>
    <row r="984" spans="4:5" ht="12.75" x14ac:dyDescent="0.2">
      <c r="D984" s="12"/>
      <c r="E984" s="12"/>
    </row>
    <row r="985" spans="4:5" ht="12.75" x14ac:dyDescent="0.2">
      <c r="D985" s="12"/>
      <c r="E985" s="12"/>
    </row>
    <row r="986" spans="4:5" ht="12.75" x14ac:dyDescent="0.2">
      <c r="D986" s="12"/>
      <c r="E986" s="12"/>
    </row>
    <row r="987" spans="4:5" ht="12.75" x14ac:dyDescent="0.2">
      <c r="D987" s="12"/>
      <c r="E987" s="12"/>
    </row>
    <row r="988" spans="4:5" ht="12.75" x14ac:dyDescent="0.2">
      <c r="D988" s="12"/>
      <c r="E988" s="12"/>
    </row>
    <row r="989" spans="4:5" ht="12.75" x14ac:dyDescent="0.2">
      <c r="D989" s="12"/>
      <c r="E989" s="12"/>
    </row>
    <row r="990" spans="4:5" ht="12.75" x14ac:dyDescent="0.2">
      <c r="D990" s="12"/>
      <c r="E990" s="12"/>
    </row>
    <row r="991" spans="4:5" ht="12.75" x14ac:dyDescent="0.2">
      <c r="D991" s="12"/>
      <c r="E991" s="12"/>
    </row>
    <row r="992" spans="4:5" ht="12.75" x14ac:dyDescent="0.2">
      <c r="D992" s="12"/>
      <c r="E992" s="12"/>
    </row>
    <row r="993" spans="4:5" ht="12.75" x14ac:dyDescent="0.2">
      <c r="D993" s="12"/>
      <c r="E993" s="12"/>
    </row>
    <row r="994" spans="4:5" ht="12.75" x14ac:dyDescent="0.2">
      <c r="D994" s="12"/>
      <c r="E994" s="12"/>
    </row>
    <row r="995" spans="4:5" ht="12.75" x14ac:dyDescent="0.2">
      <c r="D995" s="12"/>
      <c r="E995" s="12"/>
    </row>
    <row r="996" spans="4:5" ht="12.75" x14ac:dyDescent="0.2">
      <c r="D996" s="12"/>
      <c r="E996" s="12"/>
    </row>
    <row r="997" spans="4:5" ht="12.75" x14ac:dyDescent="0.2">
      <c r="D997" s="12"/>
      <c r="E997" s="12"/>
    </row>
    <row r="998" spans="4:5" ht="12.75" x14ac:dyDescent="0.2">
      <c r="D998" s="12"/>
      <c r="E998" s="12"/>
    </row>
    <row r="999" spans="4:5" ht="12.75" x14ac:dyDescent="0.2">
      <c r="D999" s="12"/>
      <c r="E999" s="12"/>
    </row>
    <row r="1000" spans="4:5" ht="12.75" x14ac:dyDescent="0.2">
      <c r="D1000" s="12"/>
      <c r="E100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Gradient Descent (Empty)</vt:lpstr>
      <vt:lpstr>Gradient Descent (Completed)</vt:lpstr>
      <vt:lpstr>Chart</vt:lpstr>
      <vt:lpstr>M + B (Empty)</vt:lpstr>
      <vt:lpstr>M + B ( Completed)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Uruk Hai</cp:lastModifiedBy>
  <dcterms:modified xsi:type="dcterms:W3CDTF">2021-12-02T12:02:05Z</dcterms:modified>
</cp:coreProperties>
</file>